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25.xml" ContentType="application/vnd.openxmlformats-officedocument.spreadsheetml.comments+xml"/>
  <Override PartName="/xl/workbook.xml" ContentType="application/vnd.openxmlformats-officedocument.spreadsheetml.sheet.main+xml"/>
  <Override PartName="/xl/comments24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vmlDrawing6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25.vml" ContentType="application/vnd.openxmlformats-officedocument.vmlDrawing"/>
  <Override PartName="/xl/drawings/vmlDrawing24.vml" ContentType="application/vnd.openxmlformats-officedocument.vmlDrawing"/>
  <Override PartName="/xl/drawings/vmlDrawing23.vml" ContentType="application/vnd.openxmlformats-officedocument.vmlDrawing"/>
  <Override PartName="/xl/drawings/vmlDrawing22.vml" ContentType="application/vnd.openxmlformats-officedocument.vmlDrawing"/>
  <Override PartName="/xl/drawings/vmlDrawing21.vml" ContentType="application/vnd.openxmlformats-officedocument.vmlDrawing"/>
  <Override PartName="/xl/drawings/vmlDrawing19.vml" ContentType="application/vnd.openxmlformats-officedocument.vmlDrawing"/>
  <Override PartName="/xl/drawings/vmlDrawing20.vml" ContentType="application/vnd.openxmlformats-officedocument.vmlDrawing"/>
  <Override PartName="/xl/drawings/vmlDrawing18.vml" ContentType="application/vnd.openxmlformats-officedocument.vmlDrawing"/>
  <Override PartName="/xl/drawings/vmlDrawing17.vml" ContentType="application/vnd.openxmlformats-officedocument.vmlDrawing"/>
  <Override PartName="/xl/drawings/vmlDrawing16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16.xml" ContentType="application/vnd.openxmlformats-officedocument.spreadsheetml.comments+xml"/>
  <Override PartName="/xl/comments6.xml" ContentType="application/vnd.openxmlformats-officedocument.spreadsheetml.comments+xml"/>
  <Override PartName="/xl/comments20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1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comments19.xml" ContentType="application/vnd.openxmlformats-officedocument.spreadsheetml.comments+xml"/>
  <Override PartName="/xl/comments21.xml" ContentType="application/vnd.openxmlformats-officedocument.spreadsheetml.comments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styles.xml" ContentType="application/vnd.openxmlformats-officedocument.spreadsheetml.style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úbrica" sheetId="2" state="visible" r:id="rId4"/>
    <sheet name="B1" sheetId="3" state="visible" r:id="rId5"/>
    <sheet name="B2" sheetId="4" state="visible" r:id="rId6"/>
    <sheet name="B3" sheetId="5" state="visible" r:id="rId7"/>
    <sheet name="B4" sheetId="6" state="visible" r:id="rId8"/>
    <sheet name="B5" sheetId="7" state="visible" r:id="rId9"/>
    <sheet name="B6" sheetId="8" state="visible" r:id="rId10"/>
    <sheet name="B7" sheetId="9" state="visible" r:id="rId11"/>
    <sheet name="B8" sheetId="10" state="visible" r:id="rId12"/>
    <sheet name="I1" sheetId="11" state="visible" r:id="rId13"/>
    <sheet name="I2" sheetId="12" state="visible" r:id="rId14"/>
    <sheet name="I3" sheetId="13" state="visible" r:id="rId15"/>
    <sheet name="I4" sheetId="14" state="visible" r:id="rId16"/>
    <sheet name="I5" sheetId="15" state="visible" r:id="rId17"/>
    <sheet name="I6" sheetId="16" state="visible" r:id="rId18"/>
    <sheet name="I7" sheetId="17" state="visible" r:id="rId19"/>
    <sheet name="I8" sheetId="18" state="visible" r:id="rId20"/>
    <sheet name="A1" sheetId="19" state="visible" r:id="rId21"/>
    <sheet name="A2" sheetId="20" state="visible" r:id="rId22"/>
    <sheet name="A3" sheetId="21" state="visible" r:id="rId23"/>
    <sheet name="A4" sheetId="22" state="visible" r:id="rId24"/>
    <sheet name="A5" sheetId="23" state="visible" r:id="rId25"/>
    <sheet name="A6" sheetId="24" state="visible" r:id="rId26"/>
    <sheet name="C3" sheetId="25" state="visible" r:id="rId27"/>
    <sheet name="C7" sheetId="26" state="visible" r:id="rId28"/>
    <sheet name="C8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sharedStrings.xml><?xml version="1.0" encoding="utf-8"?>
<sst xmlns="http://schemas.openxmlformats.org/spreadsheetml/2006/main" count="789" uniqueCount="272">
  <si>
    <t xml:space="preserve">Evaluación a ciegas con la rúbrica de 5 criterios — Evaluador 2</t>
  </si>
  <si>
    <t xml:space="preserve">Tesis: LLM como asistentes de programación PLC en la academia (UTP). 75 respuestas de código de 25 tareas (generación y conversión), cada una con un código que no revela el modelo ni la estrategia.</t>
  </si>
  <si>
    <t xml:space="preserve">Qué hay que hacer</t>
  </si>
  <si>
    <t xml:space="preserve">1. Trabaja una tarea completa antes de pasar a la siguiente. Abre respuestas/Respuestas_&lt;tarea&gt;.html (enunciado, protocolo de prueba y respuestas por código) y la hoja de la misma tarea en este libro.</t>
  </si>
  <si>
    <t xml:space="preserve">2. Rellena ÚNICAMENTE las celdas amarillas con 0, 1, 2 o 3 según la hoja Rúbrica. Las celdas azules vienen de CODESYS o se calculan solas.</t>
  </si>
  <si>
    <t xml:space="preserve">3. Justifica cada puntuación en una línea, en la columna de justificación correspondiente. Sin justificación, la puntuación no es auditable.</t>
  </si>
  <si>
    <t xml:space="preserve">4. La fila gris EJEMPLO solo muestra el formato. No se analiza.</t>
  </si>
  <si>
    <t xml:space="preserve">5. Puedes repartir el trabajo en varias sesiones. La tabla de avance de abajo indica qué falta. Guarda con el mismo nombre.</t>
  </si>
  <si>
    <t xml:space="preserve">Reglas de decisión (fijadas antes de evaluar; no se cambian durante la evaluación)</t>
  </si>
  <si>
    <t xml:space="preserve">Si la respuesta NO compila: Cumplimiento IEC = 0 y Corrección funcional = 0. Ya están precargadas. Los otros tres criterios se evalúan igual, leyendo el código.</t>
  </si>
  <si>
    <t xml:space="preserve">Si la respuesta pasa TODOS los pasos del harness: Corrección funcional = 3. Ya está precargada.</t>
  </si>
  <si>
    <t xml:space="preserve">Si compila pero falla pasos del harness: Corrección funcional es 0, 1 o 2 según la rúbrica. El HTML indica qué pasos fallaron y el protocolo de prueba dice qué comprueba cada paso.</t>
  </si>
  <si>
    <t xml:space="preserve">Si compila sola pero no se pudo simular (declara las entradas donde el harness no puede escribirlas): Corrección funcional es 0, 1 o 2, juzgada leyendo el código; no puede ser 3 porque no se demostró en simulación.</t>
  </si>
  <si>
    <t xml:space="preserve">Cumplimiento IEC cuando compila: 1 si usa extensiones fuera del estándar; 2 si las declaraciones y los tipos son correctos; 3 si además usa construcciones idiomáticas del estándar.</t>
  </si>
  <si>
    <t xml:space="preserve">Repartir el código entre declaración e implementación es un requisito del editor de CODESYS: no penaliza.</t>
  </si>
  <si>
    <t xml:space="preserve">Puntúa lo que el código es, no lo que el modelo probablemente quiso hacer.</t>
  </si>
  <si>
    <t xml:space="preserve">Evaluación a ciegas</t>
  </si>
  <si>
    <t xml:space="preserve">No consultes _SELLADO_asignacion_rubrica.csv, la carpeta de datos ni los resultados por modelo mientras calificas. Los evaluadores trabajan por separado y no comentan casos concretos hasta que ambos terminen.</t>
  </si>
  <si>
    <t xml:space="preserve">Avance</t>
  </si>
  <si>
    <t xml:space="preserve">Tarea</t>
  </si>
  <si>
    <t xml:space="preserve">Respuestas</t>
  </si>
  <si>
    <t xml:space="preserve">Completas</t>
  </si>
  <si>
    <t xml:space="preserve">Pendientes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</si>
  <si>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</si>
  <si>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</si>
  <si>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</si>
  <si>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</si>
  <si>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</si>
  <si>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</si>
  <si>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</si>
  <si>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</si>
  <si>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</si>
  <si>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</si>
  <si>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</si>
  <si>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</si>
  <si>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</si>
  <si>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</si>
  <si>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</si>
  <si>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</si>
  <si>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</si>
  <si>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</si>
  <si>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</si>
  <si>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</si>
  <si>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</si>
  <si>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</si>
  <si>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C3</t>
  </si>
  <si>
    <t xml:space="preserve">C7</t>
  </si>
  <si>
    <t xml:space="preserve">C8</t>
  </si>
  <si>
    <t xml:space="preserve">Total</t>
  </si>
  <si>
    <t xml:space="preserve">Nombre del evaluador:</t>
  </si>
  <si>
    <t xml:space="preserve">Fechas de calificación:</t>
  </si>
  <si>
    <t xml:space="preserve">Rúbrica de evaluación — 5 criterios × 4 niveles</t>
  </si>
  <si>
    <t xml:space="preserve">Fuente: Banco_de_Pruebas_v0.xlsx, hoja Rúbrica (2.5), sin cambios de redacción. Insuficiente = 0, Básico = 1, Competente = 2, Excelente = 3.</t>
  </si>
  <si>
    <t xml:space="preserve">Criterio</t>
  </si>
  <si>
    <t xml:space="preserve">Insuficiente (0)</t>
  </si>
  <si>
    <t xml:space="preserve">Básico (1)</t>
  </si>
  <si>
    <t xml:space="preserve">Competente (2)</t>
  </si>
  <si>
    <t xml:space="preserve">Excelente (3)</t>
  </si>
  <si>
    <t xml:space="preserve">Fuente del criterio</t>
  </si>
  <si>
    <t xml:space="preserve">Corrección funcional</t>
  </si>
  <si>
    <t xml:space="preserve">No implementa la lógica pedida o falla en el caso nominal.</t>
  </si>
  <si>
    <t xml:space="preserve">Funciona en el caso nominal pero falla en casos límite evidentes (flancos, reset, E-stop).</t>
  </si>
  <si>
    <t xml:space="preserve">Correcto en el caso nominal y en la mayoría de los casos límite; fallas menores sin riesgo.</t>
  </si>
  <si>
    <t xml:space="preserve">Correcto en todos los casos probados, incluidos límites y secuencias de fallo.</t>
  </si>
  <si>
    <t xml:space="preserve">IEC 61508 / simulación CODESYS</t>
  </si>
  <si>
    <t xml:space="preserve">Cumplimiento IEC 61131-3</t>
  </si>
  <si>
    <t xml:space="preserve">No compila; sintaxis o declaraciones inválidas.</t>
  </si>
  <si>
    <t xml:space="preserve">Compila solo tras correcciones menores, o usa extensiones fuera del estándar.</t>
  </si>
  <si>
    <t xml:space="preserve">Compila sin cambios; declaraciones y tipos correctos.</t>
  </si>
  <si>
    <t xml:space="preserve">Compila sin cambios y usa construcciones idiomáticas del estándar (POU adecuado, tipos TIME correctos, FB estándar bien instanciados).</t>
  </si>
  <si>
    <t xml:space="preserve">IEC 61131-3 / compilador CODESYS</t>
  </si>
  <si>
    <t xml:space="preserve">Coherencia lógica</t>
  </si>
  <si>
    <t xml:space="preserve">Condiciones contradictorias, variables sin inicializar con efecto, o estados muertos que impiden operar.</t>
  </si>
  <si>
    <t xml:space="preserve">Lógica mayormente coherente con redundancias o condiciones muertas sin efecto grave.</t>
  </si>
  <si>
    <t xml:space="preserve">Sin contradicciones; inicialización correcta; transiciones completas.</t>
  </si>
  <si>
    <t xml:space="preserve">Además, robusta: interlocks completos, sin estados inalcanzables, comportamiento seguro ante entradas simultáneas.</t>
  </si>
  <si>
    <t xml:space="preserve">Análisis técnico + simulación</t>
  </si>
  <si>
    <t xml:space="preserve">Claridad estructural</t>
  </si>
  <si>
    <t xml:space="preserve">Sin estructura reconocible; nombres crípticos; sin comentarios.</t>
  </si>
  <si>
    <t xml:space="preserve">Estructura básica pero nombres pobres o comentarios ausentes/incorrectos.</t>
  </si>
  <si>
    <t xml:space="preserve">Nombres descriptivos, secciones ordenadas, comentarios útiles.</t>
  </si>
  <si>
    <t xml:space="preserve">Además, modularización adecuada (FB reutilizable, separación lógica/E/S) y comentarios que explican el porqué.</t>
  </si>
  <si>
    <t xml:space="preserve">Clean Code (Martin)</t>
  </si>
  <si>
    <t xml:space="preserve">Mantenibilidad</t>
  </si>
  <si>
    <t xml:space="preserve">Valores mágicos por doquier; imposible modificar sin reescribir.</t>
  </si>
  <si>
    <t xml:space="preserve">Modificable con esfuerzo; constantes parcialmente parametrizadas.</t>
  </si>
  <si>
    <t xml:space="preserve">Parámetros como variables/constantes declaradas; cambios localizados.</t>
  </si>
  <si>
    <t xml:space="preserve">Además, diseño extensible (parámetros de entrada del FB, sin duplicación de lógica).</t>
  </si>
  <si>
    <t xml:space="preserve">ISO/IEC 25010</t>
  </si>
  <si>
    <t xml:space="preserve">B1 — Arranque/paro de motor con enclavamiento (Basico)</t>
  </si>
  <si>
    <t xml:space="preserve">Lee cada respuesta por su código en respuestas/Respuestas_B1.html. Rellena solo las celdas amarillas. Las azules vienen de CODESYS o se calculan solas. La fila EJEMPLO no se analiza.</t>
  </si>
  <si>
    <t xml:space="preserve">Código</t>
  </si>
  <si>
    <t xml:space="preserve">Resultado en CODESYS (automático)</t>
  </si>
  <si>
    <t xml:space="preserve">Corrección funcional (0–3)</t>
  </si>
  <si>
    <t xml:space="preserve">Cumplimiento IEC (0–3)</t>
  </si>
  <si>
    <t xml:space="preserve">Coherencia lógica (0–3)</t>
  </si>
  <si>
    <t xml:space="preserve">Claridad estructural (0–3)</t>
  </si>
  <si>
    <t xml:space="preserve">Mantenibilidad (0–3)</t>
  </si>
  <si>
    <t xml:space="preserve">Total (0–15)</t>
  </si>
  <si>
    <t xml:space="preserve">Justificación: corrección funcional / IEC</t>
  </si>
  <si>
    <t xml:space="preserve">Justificación: coherencia</t>
  </si>
  <si>
    <t xml:space="preserve">Justificación: claridad</t>
  </si>
  <si>
    <t xml:space="preserve">Justificación: mantenibilidad</t>
  </si>
  <si>
    <t xml:space="preserve">Observaciones</t>
  </si>
  <si>
    <t xml:space="preserve">Estado</t>
  </si>
  <si>
    <t xml:space="preserve">EJEMPLO</t>
  </si>
  <si>
    <t xml:space="preserve">Compila. Falla 2 de 7 pasos del harness (pasos 3,5; numerados desde 0).</t>
  </si>
  <si>
    <t xml:space="preserve">Arranca y para, pero rearranca solo tras la emergencia.</t>
  </si>
  <si>
    <t xml:space="preserve">Sin contradicciones; transiciones completas.</t>
  </si>
  <si>
    <t xml:space="preserve">Nombres claros, comentarios útiles.</t>
  </si>
  <si>
    <t xml:space="preserve">El tiempo está escrito como literal en dos sitios.</t>
  </si>
  <si>
    <t xml:space="preserve">B1-1729</t>
  </si>
  <si>
    <t xml:space="preserve">Compila. Pasa los 7 pasos del harness.</t>
  </si>
  <si>
    <t xml:space="preserve">B1-1689</t>
  </si>
  <si>
    <t xml:space="preserve">Compila. Falla 1 de 7 pasos del harness (pasos 6; numerados desde 0).</t>
  </si>
  <si>
    <t xml:space="preserve">B1-9711</t>
  </si>
  <si>
    <t xml:space="preserve">B2 — Válvula con retardo TON (Basico)</t>
  </si>
  <si>
    <t xml:space="preserve">Lee cada respuesta por su código en respuestas/Respuestas_B2.html. Rellena solo las celdas amarillas. Las azules vienen de CODESYS o se calculan solas. La fila EJEMPLO no se analiza.</t>
  </si>
  <si>
    <t xml:space="preserve">B2-4528</t>
  </si>
  <si>
    <t xml:space="preserve">Compila. Pasa los 6 pasos del harness.</t>
  </si>
  <si>
    <t xml:space="preserve">B2-4891</t>
  </si>
  <si>
    <t xml:space="preserve">Compila sola, pero no se pudo simular: declara las entradas donde el harness no puede escribirlas ('nivelAlto' no es ninguna entrada de 'FB_VALVULA').</t>
  </si>
  <si>
    <t xml:space="preserve">B2-6383</t>
  </si>
  <si>
    <t xml:space="preserve">B3 — Contador de piezas con preset (Basico)</t>
  </si>
  <si>
    <t xml:space="preserve">Lee cada respuesta por su código en respuestas/Respuestas_B3.html. Rellena solo las celdas amarillas. Las azules vienen de CODESYS o se calculan solas. La fila EJEMPLO no se analiza.</t>
  </si>
  <si>
    <t xml:space="preserve">B3-5495</t>
  </si>
  <si>
    <t xml:space="preserve">B3-6421</t>
  </si>
  <si>
    <t xml:space="preserve">B3-3133</t>
  </si>
  <si>
    <t xml:space="preserve">B4 — Inversión de giro con enclavamiento cruzado (Basico)</t>
  </si>
  <si>
    <t xml:space="preserve">Lee cada respuesta por su código en respuestas/Respuestas_B4.html. Rellena solo las celdas amarillas. Las azules vienen de CODESYS o se calculan solas. La fila EJEMPLO no se analiza.</t>
  </si>
  <si>
    <t xml:space="preserve">B4-2076</t>
  </si>
  <si>
    <t xml:space="preserve">Compila. Pasa los 10 pasos del harness.</t>
  </si>
  <si>
    <t xml:space="preserve">B4-1969</t>
  </si>
  <si>
    <t xml:space="preserve">B4-9025</t>
  </si>
  <si>
    <t xml:space="preserve">B5 — Ventilador con retardo a la desconexión (Basico)</t>
  </si>
  <si>
    <t xml:space="preserve">Lee cada respuesta por su código en respuestas/Respuestas_B5.html. Rellena solo las celdas amarillas. Las azules vienen de CODESYS o se calculan solas. La fila EJEMPLO no se analiza.</t>
  </si>
  <si>
    <t xml:space="preserve">B5-6632</t>
  </si>
  <si>
    <t xml:space="preserve">Compila. Falla 5 de 9 pasos del harness (pasos 2,3,5,7,8; numerados desde 0).</t>
  </si>
  <si>
    <t xml:space="preserve">B5-4246</t>
  </si>
  <si>
    <t xml:space="preserve">Compila. Falla 1 de 9 pasos del harness (pasos 0; numerados desde 0).</t>
  </si>
  <si>
    <t xml:space="preserve">B5-8170</t>
  </si>
  <si>
    <t xml:space="preserve">Compila. Pasa los 9 pasos del harness.</t>
  </si>
  <si>
    <t xml:space="preserve">B6 — Baliza intermitente (Basico)</t>
  </si>
  <si>
    <t xml:space="preserve">Lee cada respuesta por su código en respuestas/Respuestas_B6.html. Rellena solo las celdas amarillas. Las azules vienen de CODESYS o se calculan solas. La fila EJEMPLO no se analiza.</t>
  </si>
  <si>
    <t xml:space="preserve">B6-4934</t>
  </si>
  <si>
    <t xml:space="preserve">Compila. Falla 1 de 3 pasos del harness (pasos 1; numerados desde 0).</t>
  </si>
  <si>
    <t xml:space="preserve">B6-1513</t>
  </si>
  <si>
    <t xml:space="preserve">B6-7194</t>
  </si>
  <si>
    <t xml:space="preserve">Compila. Pasa los 3 pasos del harness.</t>
  </si>
  <si>
    <t xml:space="preserve">B7 — Selector manual/automático (POU a elección) (Basico)</t>
  </si>
  <si>
    <t xml:space="preserve">Lee cada respuesta por su código en respuestas/Respuestas_B7.html. Rellena solo las celdas amarillas. Las azules vienen de CODESYS o se calculan solas. La fila EJEMPLO no se analiza.</t>
  </si>
  <si>
    <t xml:space="preserve">B7-2790</t>
  </si>
  <si>
    <t xml:space="preserve">B7-3058</t>
  </si>
  <si>
    <t xml:space="preserve">B7-4839</t>
  </si>
  <si>
    <t xml:space="preserve">Compila sola, pero no se pudo simular: declara las entradas donde el harness no puede escribirlas ('modoAuto' no es ninguna entrada de 'SELBOMBA').</t>
  </si>
  <si>
    <t xml:space="preserve">B8 — Conteo de eventos por flanco (Basico)</t>
  </si>
  <si>
    <t xml:space="preserve">Lee cada respuesta por su código en respuestas/Respuestas_B8.html. Rellena solo las celdas amarillas. Las azules vienen de CODESYS o se calculan solas. La fila EJEMPLO no se analiza.</t>
  </si>
  <si>
    <t xml:space="preserve">B8-2057</t>
  </si>
  <si>
    <t xml:space="preserve">Compila. Falla 7 de 9 pasos del harness (pasos 1,2,3,4,5,6,8; numerados desde 0).</t>
  </si>
  <si>
    <t xml:space="preserve">B8-1092</t>
  </si>
  <si>
    <t xml:space="preserve">B8-2626</t>
  </si>
  <si>
    <t xml:space="preserve">I1 — Semáforo con secuencia temporizada (Intermedio)</t>
  </si>
  <si>
    <t xml:space="preserve">Lee cada respuesta por su código en respuestas/Respuestas_I1.html. Rellena solo las celdas amarillas. Las azules vienen de CODESYS o se calculan solas. La fila EJEMPLO no se analiza.</t>
  </si>
  <si>
    <t xml:space="preserve">I1-2168</t>
  </si>
  <si>
    <t xml:space="preserve">I1-7322</t>
  </si>
  <si>
    <t xml:space="preserve">I1-3250</t>
  </si>
  <si>
    <t xml:space="preserve">I2 — FSM de llenado multietapa (Intermedio)</t>
  </si>
  <si>
    <t xml:space="preserve">Lee cada respuesta por su código en respuestas/Respuestas_I2.html. Rellena solo las celdas amarillas. Las azules vienen de CODESYS o se calculan solas. La fila EJEMPLO no se analiza.</t>
  </si>
  <si>
    <t xml:space="preserve">I2-4324</t>
  </si>
  <si>
    <t xml:space="preserve">Compila. Falla 7 de 12 pasos del harness (pasos 2,3,4,5,6,9,11; numerados desde 0).</t>
  </si>
  <si>
    <t xml:space="preserve">I2-3102</t>
  </si>
  <si>
    <t xml:space="preserve">No compila (2 errores).</t>
  </si>
  <si>
    <t xml:space="preserve">I2-5330</t>
  </si>
  <si>
    <t xml:space="preserve">Compila. Pasa los 12 pasos del harness.</t>
  </si>
  <si>
    <t xml:space="preserve">I3 — Gestión de alarmas con prioridad (Intermedio)</t>
  </si>
  <si>
    <t xml:space="preserve">Lee cada respuesta por su código en respuestas/Respuestas_I3.html. Rellena solo las celdas amarillas. Las azules vienen de CODESYS o se calculan solas. La fila EJEMPLO no se analiza.</t>
  </si>
  <si>
    <t xml:space="preserve">I3-2429</t>
  </si>
  <si>
    <t xml:space="preserve">I3-7296</t>
  </si>
  <si>
    <t xml:space="preserve">I3-2759</t>
  </si>
  <si>
    <t xml:space="preserve">I4 — Arranque estrella-triángulo (Intermedio)</t>
  </si>
  <si>
    <t xml:space="preserve">Lee cada respuesta por su código en respuestas/Respuestas_I4.html. Rellena solo las celdas amarillas. Las azules vienen de CODESYS o se calculan solas. La fila EJEMPLO no se analiza.</t>
  </si>
  <si>
    <t xml:space="preserve">I4-7740</t>
  </si>
  <si>
    <t xml:space="preserve">Compila. Falla 3 de 6 pasos del harness (pasos 2,3,4; numerados desde 0).</t>
  </si>
  <si>
    <t xml:space="preserve">I4-2405</t>
  </si>
  <si>
    <t xml:space="preserve">I4-2920</t>
  </si>
  <si>
    <t xml:space="preserve">I5 — Banda con clasificación por sensores (Intermedio)</t>
  </si>
  <si>
    <t xml:space="preserve">Lee cada respuesta por su código en respuestas/Respuestas_I5.html. Rellena solo las celdas amarillas. Las azules vienen de CODESYS o se calculan solas. La fila EJEMPLO no se analiza.</t>
  </si>
  <si>
    <t xml:space="preserve">I5-3570</t>
  </si>
  <si>
    <t xml:space="preserve">No compila (4 errores).</t>
  </si>
  <si>
    <t xml:space="preserve">I5-6315</t>
  </si>
  <si>
    <t xml:space="preserve">I5-3665</t>
  </si>
  <si>
    <t xml:space="preserve">I6 — Escalado analógico con histéresis (Intermedio)</t>
  </si>
  <si>
    <t xml:space="preserve">Lee cada respuesta por su código en respuestas/Respuestas_I6.html. Rellena solo las celdas amarillas. Las azules vienen de CODESYS o se calculan solas. La fila EJEMPLO no se analiza.</t>
  </si>
  <si>
    <t xml:space="preserve">I6-5227</t>
  </si>
  <si>
    <t xml:space="preserve">Compila. Pasa los 8 pasos del harness.</t>
  </si>
  <si>
    <t xml:space="preserve">I6-1774</t>
  </si>
  <si>
    <t xml:space="preserve">No compila (12 errores).</t>
  </si>
  <si>
    <t xml:space="preserve">I6-7940</t>
  </si>
  <si>
    <t xml:space="preserve">I7 — Bombas dúplex con alternancia (Intermedio)</t>
  </si>
  <si>
    <t xml:space="preserve">Lee cada respuesta por su código en respuestas/Respuestas_I7.html. Rellena solo las celdas amarillas. Las azules vienen de CODESYS o se calculan solas. La fila EJEMPLO no se analiza.</t>
  </si>
  <si>
    <t xml:space="preserve">I7-2045</t>
  </si>
  <si>
    <t xml:space="preserve">Compila. Falla 1 de 14 pasos del harness (pasos 9; numerados desde 0).</t>
  </si>
  <si>
    <t xml:space="preserve">I7-2100</t>
  </si>
  <si>
    <t xml:space="preserve">Compila. Falla 5 de 14 pasos del harness (pasos 1,5,6,7,8; numerados desde 0).</t>
  </si>
  <si>
    <t xml:space="preserve">I7-8887</t>
  </si>
  <si>
    <t xml:space="preserve">Compila. Falla 8 de 14 pasos del harness (pasos 1,3,5,6,7,8,11,12; numerados desde 0).</t>
  </si>
  <si>
    <t xml:space="preserve">I8 — Permisivos de arranque de compresor (Intermedio)</t>
  </si>
  <si>
    <t xml:space="preserve">Lee cada respuesta por su código en respuestas/Respuestas_I8.html. Rellena solo las celdas amarillas. Las azules vienen de CODESYS o se calculan solas. La fila EJEMPLO no se analiza.</t>
  </si>
  <si>
    <t xml:space="preserve">I8-7627</t>
  </si>
  <si>
    <t xml:space="preserve">Compila. Falla 8 de 19 pasos del harness (pasos 1,7,8,9,13,14,15,18; numerados desde 0).</t>
  </si>
  <si>
    <t xml:space="preserve">I8-5917</t>
  </si>
  <si>
    <t xml:space="preserve">Compila. Pasa los 19 pasos del harness.</t>
  </si>
  <si>
    <t xml:space="preserve">I8-5439</t>
  </si>
  <si>
    <t xml:space="preserve">A1 — Controlador PID con anti-windup (Avanzado)</t>
  </si>
  <si>
    <t xml:space="preserve">Lee cada respuesta por su código en respuestas/Respuestas_A1.html. Rellena solo las celdas amarillas. Las azules vienen de CODESYS o se calculan solas. La fila EJEMPLO no se analiza.</t>
  </si>
  <si>
    <t xml:space="preserve">A1-7933</t>
  </si>
  <si>
    <t xml:space="preserve">No compila (27 errores).</t>
  </si>
  <si>
    <t xml:space="preserve">A1-6233</t>
  </si>
  <si>
    <t xml:space="preserve">No compila (18 errores).</t>
  </si>
  <si>
    <t xml:space="preserve">A1-2241</t>
  </si>
  <si>
    <t xml:space="preserve">Compila. Pasa los 11 pasos del harness.</t>
  </si>
  <si>
    <t xml:space="preserve">A2 — Control por lotes multifase (Avanzado)</t>
  </si>
  <si>
    <t xml:space="preserve">Lee cada respuesta por su código en respuestas/Respuestas_A2.html. Rellena solo las celdas amarillas. Las azules vienen de CODESYS o se calculan solas. La fila EJEMPLO no se analiza.</t>
  </si>
  <si>
    <t xml:space="preserve">A2-3859</t>
  </si>
  <si>
    <t xml:space="preserve">Compila. Pasa los 25 pasos del harness.</t>
  </si>
  <si>
    <t xml:space="preserve">A2-5579</t>
  </si>
  <si>
    <t xml:space="preserve">A2-4087</t>
  </si>
  <si>
    <t xml:space="preserve">A3 — Protocolo de comunicación con reintentos (Avanzado)</t>
  </si>
  <si>
    <t xml:space="preserve">Lee cada respuesta por su código en respuestas/Respuestas_A3.html. Rellena solo las celdas amarillas. Las azules vienen de CODESYS o se calculan solas. La fila EJEMPLO no se analiza.</t>
  </si>
  <si>
    <t xml:space="preserve">A3-9003</t>
  </si>
  <si>
    <t xml:space="preserve">Compila. Falla 4 de 15 pasos del harness (pasos 7,8,9,10; numerados desde 0).</t>
  </si>
  <si>
    <t xml:space="preserve">A3-6370</t>
  </si>
  <si>
    <t xml:space="preserve">Compila. Pasa los 15 pasos del harness.</t>
  </si>
  <si>
    <t xml:space="preserve">A3-4983</t>
  </si>
  <si>
    <t xml:space="preserve">Compila. Falla 14 de 15 pasos del harness (pasos 1,2,3,4,5,6,7,8,9,10,11,12,13,14; numerados desde 0).</t>
  </si>
  <si>
    <t xml:space="preserve">A4 — Rampa de velocidad limitada (Avanzado)</t>
  </si>
  <si>
    <t xml:space="preserve">Lee cada respuesta por su código en respuestas/Respuestas_A4.html. Rellena solo las celdas amarillas. Las azules vienen de CODESYS o se calculan solas. La fila EJEMPLO no se analiza.</t>
  </si>
  <si>
    <t xml:space="preserve">A4-1899</t>
  </si>
  <si>
    <t xml:space="preserve">No compila (16 errores).</t>
  </si>
  <si>
    <t xml:space="preserve">A4-3118</t>
  </si>
  <si>
    <t xml:space="preserve">Compila. Pasa los 13 pasos del harness.</t>
  </si>
  <si>
    <t xml:space="preserve">A4-8514</t>
  </si>
  <si>
    <t xml:space="preserve">A5 — Registro de eventos en buffer circular (Avanzado)</t>
  </si>
  <si>
    <t xml:space="preserve">Lee cada respuesta por su código en respuestas/Respuestas_A5.html. Rellena solo las celdas amarillas. Las azules vienen de CODESYS o se calculan solas. La fila EJEMPLO no se analiza.</t>
  </si>
  <si>
    <t xml:space="preserve">A5-9329</t>
  </si>
  <si>
    <t xml:space="preserve">No compila (1 errores).</t>
  </si>
  <si>
    <t xml:space="preserve">A5-4425</t>
  </si>
  <si>
    <t xml:space="preserve">Compila. Falla 6 de 6 pasos del harness (pasos 0,1,2,3,4,5; numerados desde 0).</t>
  </si>
  <si>
    <t xml:space="preserve">A5-1206</t>
  </si>
  <si>
    <t xml:space="preserve">A6 — Modos de operación jerárquicos con forzado individual (Avanzado)</t>
  </si>
  <si>
    <t xml:space="preserve">Lee cada respuesta por su código en respuestas/Respuestas_A6.html. Rellena solo las celdas amarillas. Las azules vienen de CODESYS o se calculan solas. La fila EJEMPLO no se analiza.</t>
  </si>
  <si>
    <t xml:space="preserve">A6-9717</t>
  </si>
  <si>
    <t xml:space="preserve">No compila (14 errores).</t>
  </si>
  <si>
    <t xml:space="preserve">A6-2982</t>
  </si>
  <si>
    <t xml:space="preserve">Compila. Pasa los 17 pasos del harness.</t>
  </si>
  <si>
    <t xml:space="preserve">A6-2630</t>
  </si>
  <si>
    <t xml:space="preserve">C3 — Conversión Ladder a ST (Complementaria)</t>
  </si>
  <si>
    <t xml:space="preserve">Lee cada respuesta por su código en respuestas/Respuestas_C3.html. Rellena solo las celdas amarillas. Las azules vienen de CODESYS o se calculan solas. La fila EJEMPLO no se analiza.</t>
  </si>
  <si>
    <t xml:space="preserve">C3-5764</t>
  </si>
  <si>
    <t xml:space="preserve">C3-2206</t>
  </si>
  <si>
    <t xml:space="preserve">C3-1285</t>
  </si>
  <si>
    <t xml:space="preserve">Compila. Falla 2 de 11 pasos del harness (pasos 3,9; numerados desde 0).</t>
  </si>
  <si>
    <t xml:space="preserve">C7 — Conversión Ladder a ST — contador con preset (Complementaria)</t>
  </si>
  <si>
    <t xml:space="preserve">Lee cada respuesta por su código en respuestas/Respuestas_C7.html. Rellena solo las celdas amarillas. Las azules vienen de CODESYS o se calculan solas. La fila EJEMPLO no se analiza.</t>
  </si>
  <si>
    <t xml:space="preserve">C7-2387</t>
  </si>
  <si>
    <t xml:space="preserve">C7-8580</t>
  </si>
  <si>
    <t xml:space="preserve">C7-9091</t>
  </si>
  <si>
    <t xml:space="preserve">C8 — Conversión Ladder a ST — válvula con retardo (Complementaria)</t>
  </si>
  <si>
    <t xml:space="preserve">Lee cada respuesta por su código en respuestas/Respuestas_C8.html. Rellena solo las celdas amarillas. Las azules vienen de CODESYS o se calculan solas. La fila EJEMPLO no se analiza.</t>
  </si>
  <si>
    <t xml:space="preserve">C8-8654</t>
  </si>
  <si>
    <t xml:space="preserve">C8-5584</t>
  </si>
  <si>
    <t xml:space="preserve">C8-4933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</si>
</sst>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4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5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6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7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8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19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0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1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2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3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4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</cols>
  <sheetData>
    <row r="1" customFormat="false" ht="17.3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30" hidden="false" customHeight="true" outlineLevel="0" collapsed="false">
      <c r="A5" s="2" t="s">
        <v>3</v>
      </c>
      <c r="B5" s="2"/>
      <c r="C5" s="2"/>
      <c r="D5" s="2"/>
    </row>
    <row r="6" customFormat="false" ht="30" hidden="false" customHeight="true" outlineLevel="0" collapsed="false">
      <c r="A6" s="2" t="s">
        <v>4</v>
      </c>
      <c r="B6" s="2"/>
      <c r="C6" s="2"/>
      <c r="D6" s="2"/>
    </row>
    <row r="7" customFormat="false" ht="30" hidden="false" customHeight="true" outlineLevel="0" collapsed="false">
      <c r="A7" s="2" t="s">
        <v>5</v>
      </c>
      <c r="B7" s="2"/>
      <c r="C7" s="2"/>
      <c r="D7" s="2"/>
    </row>
    <row r="8" customFormat="false" ht="15" hidden="false" customHeight="true" outlineLevel="0" collapsed="false">
      <c r="A8" s="2" t="s">
        <v>6</v>
      </c>
      <c r="B8" s="2"/>
      <c r="C8" s="2"/>
      <c r="D8" s="2"/>
    </row>
    <row r="9" customFormat="false" ht="30" hidden="false" customHeight="true" outlineLevel="0" collapsed="false">
      <c r="A9" s="2" t="s">
        <v>7</v>
      </c>
      <c r="B9" s="2"/>
      <c r="C9" s="2"/>
      <c r="D9" s="2"/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true" outlineLevel="0" collapsed="false">
      <c r="A11" s="3" t="s">
        <v>8</v>
      </c>
      <c r="B11" s="3"/>
      <c r="C11" s="3"/>
      <c r="D11" s="3"/>
    </row>
    <row r="12" customFormat="false" ht="30" hidden="false" customHeight="true" outlineLevel="0" collapsed="false">
      <c r="A12" s="2" t="s">
        <v>9</v>
      </c>
      <c r="B12" s="2"/>
      <c r="C12" s="2"/>
      <c r="D12" s="2"/>
    </row>
    <row r="13" customFormat="false" ht="15" hidden="false" customHeight="true" outlineLevel="0" collapsed="false">
      <c r="A13" s="2" t="s">
        <v>10</v>
      </c>
      <c r="B13" s="2"/>
      <c r="C13" s="2"/>
      <c r="D13" s="2"/>
    </row>
    <row r="14" customFormat="false" ht="30" hidden="false" customHeight="true" outlineLevel="0" collapsed="false">
      <c r="A14" s="2" t="s">
        <v>11</v>
      </c>
      <c r="B14" s="2"/>
      <c r="C14" s="2"/>
      <c r="D14" s="2"/>
    </row>
    <row r="15" customFormat="false" ht="30" hidden="false" customHeight="true" outlineLevel="0" collapsed="false">
      <c r="A15" s="2" t="s">
        <v>12</v>
      </c>
      <c r="B15" s="2"/>
      <c r="C15" s="2"/>
      <c r="D15" s="2"/>
    </row>
    <row r="16" customFormat="false" ht="30" hidden="false" customHeight="true" outlineLevel="0" collapsed="false">
      <c r="A16" s="2" t="s">
        <v>13</v>
      </c>
      <c r="B16" s="2"/>
      <c r="C16" s="2"/>
      <c r="D16" s="2"/>
    </row>
    <row r="17" customFormat="false" ht="15" hidden="false" customHeight="true" outlineLevel="0" collapsed="false">
      <c r="A17" s="2" t="s">
        <v>14</v>
      </c>
      <c r="B17" s="2"/>
      <c r="C17" s="2"/>
      <c r="D17" s="2"/>
    </row>
    <row r="18" customFormat="false" ht="15" hidden="false" customHeight="true" outlineLevel="0" collapsed="false">
      <c r="A18" s="2" t="s">
        <v>15</v>
      </c>
      <c r="B18" s="2"/>
      <c r="C18" s="2"/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true" outlineLevel="0" collapsed="false">
      <c r="A20" s="3" t="s">
        <v>16</v>
      </c>
      <c r="B20" s="3"/>
      <c r="C20" s="3"/>
      <c r="D20" s="3"/>
    </row>
    <row r="21" customFormat="false" ht="30" hidden="false" customHeight="true" outlineLevel="0" collapsed="false">
      <c r="A21" s="2" t="s">
        <v>17</v>
      </c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true" outlineLevel="0" collapsed="false">
      <c r="A23" s="3" t="s">
        <v>18</v>
      </c>
      <c r="B23" s="3"/>
      <c r="C23" s="3"/>
      <c r="D23" s="3"/>
    </row>
    <row r="24" customFormat="false" ht="15" hidden="false" customHeight="false" outlineLevel="0" collapsed="false">
      <c r="A24" s="4" t="s">
        <v>19</v>
      </c>
      <c r="B24" s="4" t="s">
        <v>20</v>
      </c>
      <c r="C24" s="4" t="s">
        <v>21</v>
      </c>
      <c r="D24" s="4" t="s">
        <v>22</v>
      </c>
    </row>
    <row r="25" customFormat="false" ht="15" hidden="false" customHeight="false" outlineLevel="0" collapsed="false">
      <c r="A25" s="5" t="s">
        <v>23</v>
      </c>
      <c r="B25" s="5" t="n">
        <v>3</v>
      </c>
      <c r="C25" s="6" t="n">
        <f aca="false">COUNTIF(B1!N6:N8,"Completa")</f>
        <v>0</v>
      </c>
      <c r="D25" s="6" t="n">
        <f aca="false">B25-C25</f>
        <v>3</v>
      </c>
    </row>
    <row r="26" customFormat="false" ht="15" hidden="false" customHeight="false" outlineLevel="0" collapsed="false">
      <c r="A26" s="5" t="s">
        <v>24</v>
      </c>
      <c r="B26" s="5" t="n">
        <v>3</v>
      </c>
      <c r="C26" s="6" t="n">
        <f aca="false">COUNTIF(B2!N6:N8,"Completa")</f>
        <v>0</v>
      </c>
      <c r="D26" s="6" t="n">
        <f aca="false">B26-C26</f>
        <v>3</v>
      </c>
    </row>
    <row r="27" customFormat="false" ht="15" hidden="false" customHeight="false" outlineLevel="0" collapsed="false">
      <c r="A27" s="5" t="s">
        <v>25</v>
      </c>
      <c r="B27" s="5" t="n">
        <v>3</v>
      </c>
      <c r="C27" s="6" t="n">
        <f aca="false">COUNTIF(B3!N6:N8,"Completa")</f>
        <v>0</v>
      </c>
      <c r="D27" s="6" t="n">
        <f aca="false">B27-C27</f>
        <v>3</v>
      </c>
    </row>
    <row r="28" customFormat="false" ht="15" hidden="false" customHeight="false" outlineLevel="0" collapsed="false">
      <c r="A28" s="5" t="s">
        <v>26</v>
      </c>
      <c r="B28" s="5" t="n">
        <v>3</v>
      </c>
      <c r="C28" s="6" t="n">
        <f aca="false">COUNTIF(B4!N6:N8,"Completa")</f>
        <v>0</v>
      </c>
      <c r="D28" s="6" t="n">
        <f aca="false">B28-C28</f>
        <v>3</v>
      </c>
    </row>
    <row r="29" customFormat="false" ht="15" hidden="false" customHeight="false" outlineLevel="0" collapsed="false">
      <c r="A29" s="5" t="s">
        <v>27</v>
      </c>
      <c r="B29" s="5" t="n">
        <v>3</v>
      </c>
      <c r="C29" s="6" t="n">
        <f aca="false">COUNTIF(B5!N6:N8,"Completa")</f>
        <v>0</v>
      </c>
      <c r="D29" s="6" t="n">
        <f aca="false">B29-C29</f>
        <v>3</v>
      </c>
    </row>
    <row r="30" customFormat="false" ht="15" hidden="false" customHeight="false" outlineLevel="0" collapsed="false">
      <c r="A30" s="5" t="s">
        <v>28</v>
      </c>
      <c r="B30" s="5" t="n">
        <v>3</v>
      </c>
      <c r="C30" s="6" t="n">
        <f aca="false">COUNTIF(B6!N6:N8,"Completa")</f>
        <v>0</v>
      </c>
      <c r="D30" s="6" t="n">
        <f aca="false">B30-C30</f>
        <v>3</v>
      </c>
    </row>
    <row r="31" customFormat="false" ht="15" hidden="false" customHeight="false" outlineLevel="0" collapsed="false">
      <c r="A31" s="5" t="s">
        <v>29</v>
      </c>
      <c r="B31" s="5" t="n">
        <v>3</v>
      </c>
      <c r="C31" s="6" t="n">
        <f aca="false">COUNTIF(B7!N6:N8,"Completa")</f>
        <v>0</v>
      </c>
      <c r="D31" s="6" t="n">
        <f aca="false">B31-C31</f>
        <v>3</v>
      </c>
    </row>
    <row r="32" customFormat="false" ht="15" hidden="false" customHeight="false" outlineLevel="0" collapsed="false">
      <c r="A32" s="5" t="s">
        <v>30</v>
      </c>
      <c r="B32" s="5" t="n">
        <v>3</v>
      </c>
      <c r="C32" s="6" t="n">
        <f aca="false">COUNTIF(B8!N6:N8,"Completa")</f>
        <v>0</v>
      </c>
      <c r="D32" s="6" t="n">
        <f aca="false">B32-C32</f>
        <v>3</v>
      </c>
    </row>
    <row r="33" customFormat="false" ht="15" hidden="false" customHeight="false" outlineLevel="0" collapsed="false">
      <c r="A33" s="5" t="s">
        <v>31</v>
      </c>
      <c r="B33" s="5" t="n">
        <v>3</v>
      </c>
      <c r="C33" s="6" t="n">
        <f aca="false">COUNTIF(I1!N6:N8,"Completa")</f>
        <v>0</v>
      </c>
      <c r="D33" s="6" t="n">
        <f aca="false">B33-C33</f>
        <v>3</v>
      </c>
    </row>
    <row r="34" customFormat="false" ht="15" hidden="false" customHeight="false" outlineLevel="0" collapsed="false">
      <c r="A34" s="5" t="s">
        <v>32</v>
      </c>
      <c r="B34" s="5" t="n">
        <v>3</v>
      </c>
      <c r="C34" s="6" t="n">
        <f aca="false">COUNTIF(I2!N6:N8,"Completa")</f>
        <v>0</v>
      </c>
      <c r="D34" s="6" t="n">
        <f aca="false">B34-C34</f>
        <v>3</v>
      </c>
    </row>
    <row r="35" customFormat="false" ht="15" hidden="false" customHeight="false" outlineLevel="0" collapsed="false">
      <c r="A35" s="5" t="s">
        <v>33</v>
      </c>
      <c r="B35" s="5" t="n">
        <v>3</v>
      </c>
      <c r="C35" s="6" t="n">
        <f aca="false">COUNTIF(I3!N6:N8,"Completa")</f>
        <v>0</v>
      </c>
      <c r="D35" s="6" t="n">
        <f aca="false">B35-C35</f>
        <v>3</v>
      </c>
    </row>
    <row r="36" customFormat="false" ht="15" hidden="false" customHeight="false" outlineLevel="0" collapsed="false">
      <c r="A36" s="5" t="s">
        <v>34</v>
      </c>
      <c r="B36" s="5" t="n">
        <v>3</v>
      </c>
      <c r="C36" s="6" t="n">
        <f aca="false">COUNTIF(I4!N6:N8,"Completa")</f>
        <v>0</v>
      </c>
      <c r="D36" s="6" t="n">
        <f aca="false">B36-C36</f>
        <v>3</v>
      </c>
    </row>
    <row r="37" customFormat="false" ht="15" hidden="false" customHeight="false" outlineLevel="0" collapsed="false">
      <c r="A37" s="5" t="s">
        <v>35</v>
      </c>
      <c r="B37" s="5" t="n">
        <v>3</v>
      </c>
      <c r="C37" s="6" t="n">
        <f aca="false">COUNTIF(I5!N6:N8,"Completa")</f>
        <v>0</v>
      </c>
      <c r="D37" s="6" t="n">
        <f aca="false">B37-C37</f>
        <v>3</v>
      </c>
    </row>
    <row r="38" customFormat="false" ht="15" hidden="false" customHeight="false" outlineLevel="0" collapsed="false">
      <c r="A38" s="5" t="s">
        <v>36</v>
      </c>
      <c r="B38" s="5" t="n">
        <v>3</v>
      </c>
      <c r="C38" s="6" t="n">
        <f aca="false">COUNTIF(I6!N6:N8,"Completa")</f>
        <v>0</v>
      </c>
      <c r="D38" s="6" t="n">
        <f aca="false">B38-C38</f>
        <v>3</v>
      </c>
    </row>
    <row r="39" customFormat="false" ht="15" hidden="false" customHeight="false" outlineLevel="0" collapsed="false">
      <c r="A39" s="5" t="s">
        <v>37</v>
      </c>
      <c r="B39" s="5" t="n">
        <v>3</v>
      </c>
      <c r="C39" s="6" t="n">
        <f aca="false">COUNTIF(I7!N6:N8,"Completa")</f>
        <v>0</v>
      </c>
      <c r="D39" s="6" t="n">
        <f aca="false">B39-C39</f>
        <v>3</v>
      </c>
    </row>
    <row r="40" customFormat="false" ht="15" hidden="false" customHeight="false" outlineLevel="0" collapsed="false">
      <c r="A40" s="5" t="s">
        <v>38</v>
      </c>
      <c r="B40" s="5" t="n">
        <v>3</v>
      </c>
      <c r="C40" s="6" t="n">
        <f aca="false">COUNTIF(I8!N6:N8,"Completa")</f>
        <v>0</v>
      </c>
      <c r="D40" s="6" t="n">
        <f aca="false">B40-C40</f>
        <v>3</v>
      </c>
    </row>
    <row r="41" customFormat="false" ht="15" hidden="false" customHeight="false" outlineLevel="0" collapsed="false">
      <c r="A41" s="5" t="s">
        <v>39</v>
      </c>
      <c r="B41" s="5" t="n">
        <v>3</v>
      </c>
      <c r="C41" s="6" t="n">
        <f aca="false">COUNTIF(A1!N6:N8,"Completa")</f>
        <v>0</v>
      </c>
      <c r="D41" s="6" t="n">
        <f aca="false">B41-C41</f>
        <v>3</v>
      </c>
    </row>
    <row r="42" customFormat="false" ht="15" hidden="false" customHeight="false" outlineLevel="0" collapsed="false">
      <c r="A42" s="5" t="s">
        <v>40</v>
      </c>
      <c r="B42" s="5" t="n">
        <v>3</v>
      </c>
      <c r="C42" s="6" t="n">
        <f aca="false">COUNTIF(A2!N6:N8,"Completa")</f>
        <v>0</v>
      </c>
      <c r="D42" s="6" t="n">
        <f aca="false">B42-C42</f>
        <v>3</v>
      </c>
    </row>
    <row r="43" customFormat="false" ht="15" hidden="false" customHeight="false" outlineLevel="0" collapsed="false">
      <c r="A43" s="5" t="s">
        <v>41</v>
      </c>
      <c r="B43" s="5" t="n">
        <v>3</v>
      </c>
      <c r="C43" s="6" t="n">
        <f aca="false">COUNTIF(A3!N6:N8,"Completa")</f>
        <v>0</v>
      </c>
      <c r="D43" s="6" t="n">
        <f aca="false">B43-C43</f>
        <v>3</v>
      </c>
    </row>
    <row r="44" customFormat="false" ht="15" hidden="false" customHeight="false" outlineLevel="0" collapsed="false">
      <c r="A44" s="5" t="s">
        <v>42</v>
      </c>
      <c r="B44" s="5" t="n">
        <v>3</v>
      </c>
      <c r="C44" s="6" t="n">
        <f aca="false">COUNTIF(A4!N6:N8,"Completa")</f>
        <v>0</v>
      </c>
      <c r="D44" s="6" t="n">
        <f aca="false">B44-C44</f>
        <v>3</v>
      </c>
    </row>
    <row r="45" customFormat="false" ht="15" hidden="false" customHeight="false" outlineLevel="0" collapsed="false">
      <c r="A45" s="5" t="s">
        <v>43</v>
      </c>
      <c r="B45" s="5" t="n">
        <v>3</v>
      </c>
      <c r="C45" s="6" t="n">
        <f aca="false">COUNTIF(A5!N6:N8,"Completa")</f>
        <v>0</v>
      </c>
      <c r="D45" s="6" t="n">
        <f aca="false">B45-C45</f>
        <v>3</v>
      </c>
    </row>
    <row r="46" customFormat="false" ht="15" hidden="false" customHeight="false" outlineLevel="0" collapsed="false">
      <c r="A46" s="5" t="s">
        <v>44</v>
      </c>
      <c r="B46" s="5" t="n">
        <v>3</v>
      </c>
      <c r="C46" s="6" t="n">
        <f aca="false">COUNTIF(A6!N6:N8,"Completa")</f>
        <v>0</v>
      </c>
      <c r="D46" s="6" t="n">
        <f aca="false">B46-C46</f>
        <v>3</v>
      </c>
    </row>
    <row r="47" customFormat="false" ht="15" hidden="false" customHeight="false" outlineLevel="0" collapsed="false">
      <c r="A47" s="5" t="s">
        <v>45</v>
      </c>
      <c r="B47" s="5" t="n">
        <v>3</v>
      </c>
      <c r="C47" s="6" t="n">
        <f aca="false">COUNTIF(C3!N6:N8,"Completa")</f>
        <v>0</v>
      </c>
      <c r="D47" s="6" t="n">
        <f aca="false">B47-C47</f>
        <v>3</v>
      </c>
    </row>
    <row r="48" customFormat="false" ht="15" hidden="false" customHeight="false" outlineLevel="0" collapsed="false">
      <c r="A48" s="5" t="s">
        <v>46</v>
      </c>
      <c r="B48" s="5" t="n">
        <v>3</v>
      </c>
      <c r="C48" s="6" t="n">
        <f aca="false">COUNTIF(C7!N6:N8,"Completa")</f>
        <v>0</v>
      </c>
      <c r="D48" s="6" t="n">
        <f aca="false">B48-C48</f>
        <v>3</v>
      </c>
    </row>
    <row r="49" customFormat="false" ht="15" hidden="false" customHeight="false" outlineLevel="0" collapsed="false">
      <c r="A49" s="5" t="s">
        <v>47</v>
      </c>
      <c r="B49" s="5" t="n">
        <v>3</v>
      </c>
      <c r="C49" s="6" t="n">
        <f aca="false">COUNTIF(C8!N6:N8,"Completa")</f>
        <v>0</v>
      </c>
      <c r="D49" s="6" t="n">
        <f aca="false">B49-C49</f>
        <v>3</v>
      </c>
    </row>
    <row r="50" customFormat="false" ht="15" hidden="false" customHeight="false" outlineLevel="0" collapsed="false">
      <c r="A50" s="7" t="s">
        <v>48</v>
      </c>
      <c r="B50" s="7" t="n">
        <f aca="false">SUM(B25:B49)</f>
        <v>75</v>
      </c>
      <c r="C50" s="7" t="n">
        <f aca="false">SUM(C25:C49)</f>
        <v>0</v>
      </c>
      <c r="D50" s="7" t="n">
        <f aca="false">SUM(D25:D49)</f>
        <v>75</v>
      </c>
    </row>
    <row r="52" customFormat="false" ht="15" hidden="false" customHeight="false" outlineLevel="0" collapsed="false">
      <c r="A52" s="8" t="s">
        <v>49</v>
      </c>
      <c r="B52" s="9"/>
    </row>
    <row r="53" customFormat="false" ht="15" hidden="false" customHeight="false" outlineLevel="0" collapsed="false">
      <c r="A53" s="8" t="s">
        <v>50</v>
      </c>
      <c r="B53" s="9"/>
    </row>
  </sheetData>
  <mergeCells count="2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4"/>
    <col collapsed="false" customWidth="true" hidden="false" outlineLevel="0" max="5" min="5" style="0" width="38"/>
    <col collapsed="false" customWidth="true" hidden="false" outlineLevel="0" max="6" min="6" style="0" width="22"/>
  </cols>
  <sheetData>
    <row r="1" customFormat="false" ht="16.15" hidden="false" customHeight="false" outlineLevel="0" collapsed="false">
      <c r="A1" s="10" t="s">
        <v>51</v>
      </c>
    </row>
    <row r="2" customFormat="false" ht="15" hidden="false" customHeight="false" outlineLevel="0" collapsed="false">
      <c r="A2" s="11" t="s">
        <v>52</v>
      </c>
    </row>
    <row r="4" customFormat="false" ht="15" hidden="false" customHeight="false" outlineLevel="0" collapsed="false">
      <c r="A4" s="4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</row>
    <row r="5" customFormat="false" ht="78" hidden="false" customHeight="true" outlineLevel="0" collapsed="false">
      <c r="A5" s="12" t="s">
        <v>59</v>
      </c>
      <c r="B5" s="13" t="s">
        <v>60</v>
      </c>
      <c r="C5" s="13" t="s">
        <v>61</v>
      </c>
      <c r="D5" s="13" t="s">
        <v>62</v>
      </c>
      <c r="E5" s="13" t="s">
        <v>63</v>
      </c>
      <c r="F5" s="13" t="s">
        <v>64</v>
      </c>
    </row>
    <row r="6" customFormat="false" ht="78" hidden="false" customHeight="true" outlineLevel="0" collapsed="false">
      <c r="A6" s="12" t="s">
        <v>65</v>
      </c>
      <c r="B6" s="13" t="s">
        <v>66</v>
      </c>
      <c r="C6" s="13" t="s">
        <v>67</v>
      </c>
      <c r="D6" s="13" t="s">
        <v>68</v>
      </c>
      <c r="E6" s="13" t="s">
        <v>69</v>
      </c>
      <c r="F6" s="13" t="s">
        <v>70</v>
      </c>
    </row>
    <row r="7" customFormat="false" ht="78" hidden="false" customHeight="true" outlineLevel="0" collapsed="false">
      <c r="A7" s="12" t="s">
        <v>71</v>
      </c>
      <c r="B7" s="13" t="s">
        <v>72</v>
      </c>
      <c r="C7" s="13" t="s">
        <v>73</v>
      </c>
      <c r="D7" s="13" t="s">
        <v>74</v>
      </c>
      <c r="E7" s="13" t="s">
        <v>75</v>
      </c>
      <c r="F7" s="13" t="s">
        <v>76</v>
      </c>
    </row>
    <row r="8" customFormat="false" ht="78" hidden="false" customHeight="true" outlineLevel="0" collapsed="false">
      <c r="A8" s="12" t="s">
        <v>77</v>
      </c>
      <c r="B8" s="13" t="s">
        <v>78</v>
      </c>
      <c r="C8" s="13" t="s">
        <v>79</v>
      </c>
      <c r="D8" s="13" t="s">
        <v>80</v>
      </c>
      <c r="E8" s="13" t="s">
        <v>81</v>
      </c>
      <c r="F8" s="13" t="s">
        <v>82</v>
      </c>
    </row>
    <row r="9" customFormat="false" ht="78" hidden="false" customHeight="true" outlineLevel="0" collapsed="false">
      <c r="A9" s="12" t="s">
        <v>83</v>
      </c>
      <c r="B9" s="13" t="s">
        <v>84</v>
      </c>
      <c r="C9" s="13" t="s">
        <v>85</v>
      </c>
      <c r="D9" s="13" t="s">
        <v>86</v>
      </c>
      <c r="E9" s="13" t="s">
        <v>87</v>
      </c>
      <c r="F9" s="13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89</v>
      </c>
    </row>
    <row r="2" customFormat="false" ht="15" hidden="false" customHeight="false" outlineLevel="0" collapsed="false">
      <c r="A2" s="11" t="s">
        <v>90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111</v>
      </c>
      <c r="B6" s="17" t="s">
        <v>112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113</v>
      </c>
      <c r="B7" s="17" t="s">
        <v>114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115</v>
      </c>
      <c r="B8" s="17" t="s">
        <v>112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7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116</v>
      </c>
    </row>
    <row r="2" customFormat="false" ht="15" hidden="false" customHeight="false" outlineLevel="0" collapsed="false">
      <c r="A2" s="11" t="s">
        <v>117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118</v>
      </c>
      <c r="B6" s="17" t="s">
        <v>119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120</v>
      </c>
      <c r="B7" s="17" t="s">
        <v>121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122</v>
      </c>
      <c r="B8" s="17" t="s">
        <v>119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7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123</v>
      </c>
    </row>
    <row r="2" customFormat="false" ht="15" hidden="false" customHeight="false" outlineLevel="0" collapsed="false">
      <c r="A2" s="11" t="s">
        <v>124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125</v>
      </c>
      <c r="B6" s="17" t="s">
        <v>112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126</v>
      </c>
      <c r="B7" s="17" t="s">
        <v>112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127</v>
      </c>
      <c r="B8" s="17" t="s">
        <v>112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128</v>
      </c>
    </row>
    <row r="2" customFormat="false" ht="15" hidden="false" customHeight="false" outlineLevel="0" collapsed="false">
      <c r="A2" s="11" t="s">
        <v>129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130</v>
      </c>
      <c r="B6" s="17" t="s">
        <v>131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132</v>
      </c>
      <c r="B7" s="17" t="s">
        <v>131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133</v>
      </c>
      <c r="B8" s="17" t="s">
        <v>131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134</v>
      </c>
    </row>
    <row r="2" customFormat="false" ht="15" hidden="false" customHeight="false" outlineLevel="0" collapsed="false">
      <c r="A2" s="11" t="s">
        <v>135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136</v>
      </c>
      <c r="B6" s="17" t="s">
        <v>137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138</v>
      </c>
      <c r="B7" s="17" t="s">
        <v>139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140</v>
      </c>
      <c r="B8" s="17" t="s">
        <v>141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:C7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142</v>
      </c>
    </row>
    <row r="2" customFormat="false" ht="15" hidden="false" customHeight="false" outlineLevel="0" collapsed="false">
      <c r="A2" s="11" t="s">
        <v>143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144</v>
      </c>
      <c r="B6" s="17" t="s">
        <v>145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146</v>
      </c>
      <c r="B7" s="17" t="s">
        <v>145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147</v>
      </c>
      <c r="B8" s="17" t="s">
        <v>148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:C7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149</v>
      </c>
    </row>
    <row r="2" customFormat="false" ht="15" hidden="false" customHeight="false" outlineLevel="0" collapsed="false">
      <c r="A2" s="11" t="s">
        <v>150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151</v>
      </c>
      <c r="B6" s="17" t="s">
        <v>131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152</v>
      </c>
      <c r="B7" s="17" t="s">
        <v>131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153</v>
      </c>
      <c r="B8" s="17" t="s">
        <v>154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155</v>
      </c>
    </row>
    <row r="2" customFormat="false" ht="15" hidden="false" customHeight="false" outlineLevel="0" collapsed="false">
      <c r="A2" s="11" t="s">
        <v>156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157</v>
      </c>
      <c r="B6" s="17" t="s">
        <v>158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159</v>
      </c>
      <c r="B7" s="17" t="s">
        <v>141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160</v>
      </c>
      <c r="B8" s="17" t="s">
        <v>141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161</v>
      </c>
    </row>
    <row r="2" customFormat="false" ht="15" hidden="false" customHeight="false" outlineLevel="0" collapsed="false">
      <c r="A2" s="11" t="s">
        <v>162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163</v>
      </c>
      <c r="B6" s="17" t="s">
        <v>141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164</v>
      </c>
      <c r="B7" s="17" t="s">
        <v>141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165</v>
      </c>
      <c r="B8" s="17" t="s">
        <v>141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166</v>
      </c>
    </row>
    <row r="2" customFormat="false" ht="15" hidden="false" customHeight="false" outlineLevel="0" collapsed="false">
      <c r="A2" s="11" t="s">
        <v>167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168</v>
      </c>
      <c r="B6" s="17" t="s">
        <v>169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170</v>
      </c>
      <c r="B7" s="17" t="s">
        <v>171</v>
      </c>
      <c r="C7" s="18" t="n">
        <v>0</v>
      </c>
      <c r="D7" s="18" t="n">
        <v>0</v>
      </c>
      <c r="E7" s="19"/>
      <c r="F7" s="19"/>
      <c r="G7" s="19"/>
      <c r="H7" s="18" t="str">
        <f aca="false">IF(COUNT(C7:G7)=5,SUM(C7:G7),"")</f>
        <v/>
      </c>
      <c r="I7" s="17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172</v>
      </c>
      <c r="B8" s="17" t="s">
        <v>173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 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174</v>
      </c>
    </row>
    <row r="2" customFormat="false" ht="15" hidden="false" customHeight="false" outlineLevel="0" collapsed="false">
      <c r="A2" s="11" t="s">
        <v>175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176</v>
      </c>
      <c r="B6" s="17" t="s">
        <v>131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177</v>
      </c>
      <c r="B7" s="17" t="s">
        <v>131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178</v>
      </c>
      <c r="B8" s="17" t="s">
        <v>131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179</v>
      </c>
    </row>
    <row r="2" customFormat="false" ht="15" hidden="false" customHeight="false" outlineLevel="0" collapsed="false">
      <c r="A2" s="11" t="s">
        <v>180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181</v>
      </c>
      <c r="B6" s="17" t="s">
        <v>182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183</v>
      </c>
      <c r="B7" s="17" t="s">
        <v>119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184</v>
      </c>
      <c r="B8" s="17" t="s">
        <v>119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185</v>
      </c>
    </row>
    <row r="2" customFormat="false" ht="15" hidden="false" customHeight="false" outlineLevel="0" collapsed="false">
      <c r="A2" s="11" t="s">
        <v>186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187</v>
      </c>
      <c r="B6" s="17" t="s">
        <v>188</v>
      </c>
      <c r="C6" s="18" t="n">
        <v>0</v>
      </c>
      <c r="D6" s="18" t="n">
        <v>0</v>
      </c>
      <c r="E6" s="19"/>
      <c r="F6" s="19"/>
      <c r="G6" s="19"/>
      <c r="H6" s="18" t="str">
        <f aca="false">IF(COUNT(C6:G6)=5,SUM(C6:G6),"")</f>
        <v/>
      </c>
      <c r="I6" s="17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189</v>
      </c>
      <c r="B7" s="17" t="s">
        <v>112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190</v>
      </c>
      <c r="B8" s="17" t="s">
        <v>112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7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191</v>
      </c>
    </row>
    <row r="2" customFormat="false" ht="15" hidden="false" customHeight="false" outlineLevel="0" collapsed="false">
      <c r="A2" s="11" t="s">
        <v>192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193</v>
      </c>
      <c r="B6" s="17" t="s">
        <v>194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195</v>
      </c>
      <c r="B7" s="17" t="s">
        <v>196</v>
      </c>
      <c r="C7" s="18" t="n">
        <v>0</v>
      </c>
      <c r="D7" s="18" t="n">
        <v>0</v>
      </c>
      <c r="E7" s="19"/>
      <c r="F7" s="19"/>
      <c r="G7" s="19"/>
      <c r="H7" s="18" t="str">
        <f aca="false">IF(COUNT(C7:G7)=5,SUM(C7:G7),"")</f>
        <v/>
      </c>
      <c r="I7" s="17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197</v>
      </c>
      <c r="B8" s="17" t="s">
        <v>194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6 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198</v>
      </c>
    </row>
    <row r="2" customFormat="false" ht="15" hidden="false" customHeight="false" outlineLevel="0" collapsed="false">
      <c r="A2" s="11" t="s">
        <v>199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200</v>
      </c>
      <c r="B6" s="17" t="s">
        <v>201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202</v>
      </c>
      <c r="B7" s="17" t="s">
        <v>203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204</v>
      </c>
      <c r="B8" s="17" t="s">
        <v>205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:C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206</v>
      </c>
    </row>
    <row r="2" customFormat="false" ht="15" hidden="false" customHeight="false" outlineLevel="0" collapsed="false">
      <c r="A2" s="11" t="s">
        <v>207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208</v>
      </c>
      <c r="B6" s="17" t="s">
        <v>209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210</v>
      </c>
      <c r="B7" s="17" t="s">
        <v>211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212</v>
      </c>
      <c r="B8" s="17" t="s">
        <v>211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213</v>
      </c>
    </row>
    <row r="2" customFormat="false" ht="15" hidden="false" customHeight="false" outlineLevel="0" collapsed="false">
      <c r="A2" s="11" t="s">
        <v>214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215</v>
      </c>
      <c r="B6" s="17" t="s">
        <v>216</v>
      </c>
      <c r="C6" s="18" t="n">
        <v>0</v>
      </c>
      <c r="D6" s="18" t="n">
        <v>0</v>
      </c>
      <c r="E6" s="19"/>
      <c r="F6" s="19"/>
      <c r="G6" s="19"/>
      <c r="H6" s="18" t="str">
        <f aca="false">IF(COUNT(C6:G6)=5,SUM(C6:G6),"")</f>
        <v/>
      </c>
      <c r="I6" s="17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217</v>
      </c>
      <c r="B7" s="17" t="s">
        <v>218</v>
      </c>
      <c r="C7" s="18" t="n">
        <v>0</v>
      </c>
      <c r="D7" s="18" t="n">
        <v>0</v>
      </c>
      <c r="E7" s="19"/>
      <c r="F7" s="19"/>
      <c r="G7" s="19"/>
      <c r="H7" s="18" t="str">
        <f aca="false">IF(COUNT(C7:G7)=5,SUM(C7:G7),"")</f>
        <v/>
      </c>
      <c r="I7" s="17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219</v>
      </c>
      <c r="B8" s="17" t="s">
        <v>220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221</v>
      </c>
    </row>
    <row r="2" customFormat="false" ht="15" hidden="false" customHeight="false" outlineLevel="0" collapsed="false">
      <c r="A2" s="11" t="s">
        <v>222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223</v>
      </c>
      <c r="B6" s="17" t="s">
        <v>224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225</v>
      </c>
      <c r="B7" s="17" t="s">
        <v>188</v>
      </c>
      <c r="C7" s="18" t="n">
        <v>0</v>
      </c>
      <c r="D7" s="18" t="n">
        <v>0</v>
      </c>
      <c r="E7" s="19"/>
      <c r="F7" s="19"/>
      <c r="G7" s="19"/>
      <c r="H7" s="18" t="str">
        <f aca="false">IF(COUNT(C7:G7)=5,SUM(C7:G7),"")</f>
        <v/>
      </c>
      <c r="I7" s="17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226</v>
      </c>
      <c r="B8" s="17" t="s">
        <v>224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6 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227</v>
      </c>
    </row>
    <row r="2" customFormat="false" ht="15" hidden="false" customHeight="false" outlineLevel="0" collapsed="false">
      <c r="A2" s="11" t="s">
        <v>228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229</v>
      </c>
      <c r="B6" s="17" t="s">
        <v>230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231</v>
      </c>
      <c r="B7" s="17" t="s">
        <v>232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233</v>
      </c>
      <c r="B8" s="17" t="s">
        <v>234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 C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235</v>
      </c>
    </row>
    <row r="2" customFormat="false" ht="15" hidden="false" customHeight="false" outlineLevel="0" collapsed="false">
      <c r="A2" s="11" t="s">
        <v>236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237</v>
      </c>
      <c r="B6" s="17" t="s">
        <v>238</v>
      </c>
      <c r="C6" s="18" t="n">
        <v>0</v>
      </c>
      <c r="D6" s="18" t="n">
        <v>0</v>
      </c>
      <c r="E6" s="19"/>
      <c r="F6" s="19"/>
      <c r="G6" s="19"/>
      <c r="H6" s="18" t="str">
        <f aca="false">IF(COUNT(C6:G6)=5,SUM(C6:G6),"")</f>
        <v/>
      </c>
      <c r="I6" s="17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239</v>
      </c>
      <c r="B7" s="17" t="s">
        <v>240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241</v>
      </c>
      <c r="B8" s="17" t="s">
        <v>188</v>
      </c>
      <c r="C8" s="18" t="n">
        <v>0</v>
      </c>
      <c r="D8" s="18" t="n">
        <v>0</v>
      </c>
      <c r="E8" s="19"/>
      <c r="F8" s="19"/>
      <c r="G8" s="19"/>
      <c r="H8" s="18" t="str">
        <f aca="false">IF(COUNT(C8:G8)=5,SUM(C8:G8),"")</f>
        <v/>
      </c>
      <c r="I8" s="17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7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242</v>
      </c>
    </row>
    <row r="2" customFormat="false" ht="15" hidden="false" customHeight="false" outlineLevel="0" collapsed="false">
      <c r="A2" s="11" t="s">
        <v>243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244</v>
      </c>
      <c r="B6" s="17" t="s">
        <v>245</v>
      </c>
      <c r="C6" s="18" t="n">
        <v>0</v>
      </c>
      <c r="D6" s="18" t="n">
        <v>0</v>
      </c>
      <c r="E6" s="19"/>
      <c r="F6" s="19"/>
      <c r="G6" s="19"/>
      <c r="H6" s="18" t="str">
        <f aca="false">IF(COUNT(C6:G6)=5,SUM(C6:G6),"")</f>
        <v/>
      </c>
      <c r="I6" s="17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246</v>
      </c>
      <c r="B7" s="17" t="s">
        <v>247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248</v>
      </c>
      <c r="B8" s="17" t="s">
        <v>119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7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7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249</v>
      </c>
    </row>
    <row r="2" customFormat="false" ht="15" hidden="false" customHeight="false" outlineLevel="0" collapsed="false">
      <c r="A2" s="11" t="s">
        <v>250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251</v>
      </c>
      <c r="B6" s="17" t="s">
        <v>252</v>
      </c>
      <c r="C6" s="18" t="n">
        <v>0</v>
      </c>
      <c r="D6" s="18" t="n">
        <v>0</v>
      </c>
      <c r="E6" s="19"/>
      <c r="F6" s="19"/>
      <c r="G6" s="19"/>
      <c r="H6" s="18" t="str">
        <f aca="false">IF(COUNT(C6:G6)=5,SUM(C6:G6),"")</f>
        <v/>
      </c>
      <c r="I6" s="17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253</v>
      </c>
      <c r="B7" s="17" t="s">
        <v>254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255</v>
      </c>
      <c r="B8" s="17" t="s">
        <v>254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7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256</v>
      </c>
    </row>
    <row r="2" customFormat="false" ht="15" hidden="false" customHeight="false" outlineLevel="0" collapsed="false">
      <c r="A2" s="11" t="s">
        <v>257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258</v>
      </c>
      <c r="B6" s="17" t="s">
        <v>220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259</v>
      </c>
      <c r="B7" s="17" t="s">
        <v>220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260</v>
      </c>
      <c r="B8" s="17" t="s">
        <v>261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262</v>
      </c>
    </row>
    <row r="2" customFormat="false" ht="15" hidden="false" customHeight="false" outlineLevel="0" collapsed="false">
      <c r="A2" s="11" t="s">
        <v>263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264</v>
      </c>
      <c r="B6" s="17" t="s">
        <v>112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265</v>
      </c>
      <c r="B7" s="17" t="s">
        <v>112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266</v>
      </c>
      <c r="B8" s="17" t="s">
        <v>112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267</v>
      </c>
    </row>
    <row r="2" customFormat="false" ht="15" hidden="false" customHeight="false" outlineLevel="0" collapsed="false">
      <c r="A2" s="11" t="s">
        <v>268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269</v>
      </c>
      <c r="B6" s="17" t="s">
        <v>119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270</v>
      </c>
      <c r="B7" s="17" t="s">
        <v>119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271</v>
      </c>
      <c r="B8" s="17" t="s">
        <v>121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</sheetData>
  <dataValidations count="3">
    <dataValidation allowBlank="true" error="Aquí solo 1, 2 o 3: el 0 se reserva a las respuestas que no compilan." errorStyle="stop" errorTitle="Valor no válido" operator="between" showDropDown="false" showErrorMessage="true" showInputMessage="false" sqref="D6:D8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8" type="list">
      <formula1>"0,1,2,3"</formula1>
      <formula2>0</formula2>
    </dataValidation>
    <dataValidation allowBlank="true" error="Aquí solo 0, 1 o 2: el 3 se reserva a las respuestas que pasan todos los pasos." errorStyle="stop" errorTitle="Valor no válido" operator="between" showDropDown="false" showErrorMessage="true" showInputMessage="false" sqref="C8" type="list">
      <formula1>"0,1,2"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2026-10-07T06:37:28Z</dcterms:created>
  <dc:creator>openpyxl</dc:creator>
  <dc:description/>
  <dc:language>en-US</dc:language>
  <cp:lastModifiedBy/>
  <dcterms:modified xsi:type="dcterms:W3CDTF">2026-10-07T06:37:29Z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