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úbrica" sheetId="2" state="visible" r:id="rId2"/>
    <sheet xmlns:r="http://schemas.openxmlformats.org/officeDocument/2006/relationships" name="B1" sheetId="3" state="visible" r:id="rId3"/>
    <sheet xmlns:r="http://schemas.openxmlformats.org/officeDocument/2006/relationships" name="B2" sheetId="4" state="visible" r:id="rId4"/>
    <sheet xmlns:r="http://schemas.openxmlformats.org/officeDocument/2006/relationships" name="B3" sheetId="5" state="visible" r:id="rId5"/>
    <sheet xmlns:r="http://schemas.openxmlformats.org/officeDocument/2006/relationships" name="B4" sheetId="6" state="visible" r:id="rId6"/>
    <sheet xmlns:r="http://schemas.openxmlformats.org/officeDocument/2006/relationships" name="B5" sheetId="7" state="visible" r:id="rId7"/>
    <sheet xmlns:r="http://schemas.openxmlformats.org/officeDocument/2006/relationships" name="B6" sheetId="8" state="visible" r:id="rId8"/>
    <sheet xmlns:r="http://schemas.openxmlformats.org/officeDocument/2006/relationships" name="B7" sheetId="9" state="visible" r:id="rId9"/>
    <sheet xmlns:r="http://schemas.openxmlformats.org/officeDocument/2006/relationships" name="B8" sheetId="10" state="visible" r:id="rId10"/>
    <sheet xmlns:r="http://schemas.openxmlformats.org/officeDocument/2006/relationships" name="I1" sheetId="11" state="visible" r:id="rId11"/>
    <sheet xmlns:r="http://schemas.openxmlformats.org/officeDocument/2006/relationships" name="I2" sheetId="12" state="visible" r:id="rId12"/>
    <sheet xmlns:r="http://schemas.openxmlformats.org/officeDocument/2006/relationships" name="I3" sheetId="13" state="visible" r:id="rId13"/>
    <sheet xmlns:r="http://schemas.openxmlformats.org/officeDocument/2006/relationships" name="I4" sheetId="14" state="visible" r:id="rId14"/>
    <sheet xmlns:r="http://schemas.openxmlformats.org/officeDocument/2006/relationships" name="I5" sheetId="15" state="visible" r:id="rId15"/>
    <sheet xmlns:r="http://schemas.openxmlformats.org/officeDocument/2006/relationships" name="I6" sheetId="16" state="visible" r:id="rId16"/>
    <sheet xmlns:r="http://schemas.openxmlformats.org/officeDocument/2006/relationships" name="I7" sheetId="17" state="visible" r:id="rId17"/>
    <sheet xmlns:r="http://schemas.openxmlformats.org/officeDocument/2006/relationships" name="I8" sheetId="18" state="visible" r:id="rId18"/>
    <sheet xmlns:r="http://schemas.openxmlformats.org/officeDocument/2006/relationships" name="A1" sheetId="19" state="visible" r:id="rId19"/>
    <sheet xmlns:r="http://schemas.openxmlformats.org/officeDocument/2006/relationships" name="A2" sheetId="20" state="visible" r:id="rId20"/>
    <sheet xmlns:r="http://schemas.openxmlformats.org/officeDocument/2006/relationships" name="A3" sheetId="21" state="visible" r:id="rId21"/>
    <sheet xmlns:r="http://schemas.openxmlformats.org/officeDocument/2006/relationships" name="A4" sheetId="22" state="visible" r:id="rId22"/>
    <sheet xmlns:r="http://schemas.openxmlformats.org/officeDocument/2006/relationships" name="A5" sheetId="23" state="visible" r:id="rId23"/>
    <sheet xmlns:r="http://schemas.openxmlformats.org/officeDocument/2006/relationships" name="A6" sheetId="24" state="visible" r:id="rId24"/>
    <sheet xmlns:r="http://schemas.openxmlformats.org/officeDocument/2006/relationships" name="C3" sheetId="25" state="visible" r:id="rId25"/>
    <sheet xmlns:r="http://schemas.openxmlformats.org/officeDocument/2006/relationships" name="C7" sheetId="26" state="visible" r:id="rId26"/>
    <sheet xmlns:r="http://schemas.openxmlformats.org/officeDocument/2006/relationships" name="C8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[EVALUACIÓN IA — NO OFICIAL — solo para comparación con la evaluación humana] Evaluación a ciegas con la rúbrica de 5 criterios — Evaluador 1</t>
        </is>
      </c>
    </row>
    <row r="2" ht="30" customHeight="1" s="22">
      <c r="A2" s="24" t="inlineStr">
        <is>
          <t>Tesis: LLM como asistentes de programación PLC en la academia (UTP). 600 respuestas de código de 25 tareas (generación y conversión), cada una con un código que no revela el modelo ni la estrategia.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Trabaja una tarea completa antes de pasar a la siguiente. Abre respuestas/Respuestas_&lt;tarea&gt;.html (enunciado, protocolo de prueba y respuestas por código) y la hoja de la misma tarea en este libro.</t>
        </is>
      </c>
    </row>
    <row r="6" ht="30" customHeight="1" s="22">
      <c r="A6" s="24" t="inlineStr">
        <is>
          <t>2. Rellena ÚNICAMENTE las celdas amarillas con 0, 1, 2 o 3 según la hoja Rúbrica. Las celdas azules vienen de CODESYS o se calculan solas.</t>
        </is>
      </c>
    </row>
    <row r="7" ht="30" customHeight="1" s="22">
      <c r="A7" s="24" t="inlineStr">
        <is>
          <t>3. Justifica cada puntuación en una línea, en la columna de justificación correspondiente. Sin justificación, la puntuación no es auditable.</t>
        </is>
      </c>
    </row>
    <row r="8" ht="15" customHeight="1" s="22">
      <c r="A8" s="24" t="inlineStr">
        <is>
          <t>4. La fila gris EJEMPLO solo muestra el formato. No se analiza.</t>
        </is>
      </c>
    </row>
    <row r="9" ht="30" customHeight="1" s="22">
      <c r="A9" s="24" t="inlineStr">
        <is>
          <t>5. Puedes repartir el trabajo en varias sesiones. La tabla de avance de abajo indica qué falta. Guarda con el mismo nombre.</t>
        </is>
      </c>
    </row>
    <row r="10" ht="15" customHeight="1" s="22">
      <c r="A10" s="24" t="n"/>
    </row>
    <row r="11" ht="15" customHeight="1" s="22">
      <c r="A11" s="25" t="inlineStr">
        <is>
          <t>Reglas de decisión (fijadas antes de evaluar; no se cambian durante la evaluación)</t>
        </is>
      </c>
    </row>
    <row r="12" ht="30" customHeight="1" s="22">
      <c r="A12" s="24" t="inlineStr">
        <is>
          <t>Si la respuesta NO compila: Cumplimiento IEC = 0 y Corrección funcional = 0. Ya están precargadas. Los otros tres criterios se evalúan igual, leyendo el código.</t>
        </is>
      </c>
    </row>
    <row r="13" ht="15" customHeight="1" s="22">
      <c r="A13" s="24" t="inlineStr">
        <is>
          <t>Si la respuesta pasa TODOS los pasos del harness: Corrección funcional = 3. Ya está precargada.</t>
        </is>
      </c>
    </row>
    <row r="14" ht="30" customHeight="1" s="22">
      <c r="A14" s="24" t="inlineStr">
        <is>
          <t>Si compila pero falla pasos del harness: Corrección funcional es 0, 1 o 2 según la rúbrica. El HTML indica qué pasos fallaron y el protocolo de prueba dice qué comprueba cada paso.</t>
        </is>
      </c>
    </row>
    <row r="15" ht="30" customHeight="1" s="22">
      <c r="A15" s="24" t="inlineStr">
        <is>
          <t>Si compila sola pero no se pudo simular (declara las entradas donde el harness no puede escribirlas): Corrección funcional es 0, 1 o 2, juzgada leyendo el código; no puede ser 3 porque no se demostró en simulación.</t>
        </is>
      </c>
    </row>
    <row r="16" ht="30" customHeight="1" s="22">
      <c r="A16" s="24" t="inlineStr">
        <is>
          <t>Cumplimiento IEC cuando compila: 1 si usa extensiones fuera del estándar; 2 si las declaraciones y los tipos son correctos; 3 si además usa construcciones idiomáticas del estándar.</t>
        </is>
      </c>
    </row>
    <row r="17" ht="15" customHeight="1" s="22">
      <c r="A17" s="24" t="inlineStr">
        <is>
          <t>Repartir el código entre declaración e implementación es un requisito del editor de CODESYS: no penaliza.</t>
        </is>
      </c>
    </row>
    <row r="18" ht="15" customHeight="1" s="22">
      <c r="A18" s="24" t="inlineStr">
        <is>
          <t>Puntúa lo que el código es, no lo que el modelo probablemente quiso hacer.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No consultes _SELLADO_asignacion_rubrica.csv, la carpeta de datos ni los resultados por modelo mientras calificas. Los evaluadores trabajan por separado y no comentan casos concretos hasta que ambos terminen.</t>
        </is>
      </c>
    </row>
    <row r="22" ht="15" customHeight="1" s="22">
      <c r="A22" s="24" t="n"/>
    </row>
    <row r="23" ht="15" customHeight="1" s="22">
      <c r="A23" s="25" t="inlineStr">
        <is>
          <t>Avance</t>
        </is>
      </c>
    </row>
    <row r="24" ht="15" customHeight="1" s="22">
      <c r="A24" s="26" t="inlineStr">
        <is>
          <t>Tarea</t>
        </is>
      </c>
      <c r="B24" s="26" t="inlineStr">
        <is>
          <t>Respuestas</t>
        </is>
      </c>
      <c r="C24" s="26" t="inlineStr">
        <is>
          <t>Completas</t>
        </is>
      </c>
      <c r="D24" s="26" t="inlineStr">
        <is>
          <t>Pendientes</t>
        </is>
      </c>
    </row>
    <row r="25" ht="15" customHeight="1" s="22">
      <c r="A25" s="27" t="inlineStr">
        <is>
          <t>B1</t>
        </is>
      </c>
      <c r="B25" s="27" t="n">
        <v>24</v>
      </c>
      <c r="C25" s="28">
        <f>COUNTIF(B1!N6:N29,"Completa")</f>
        <v/>
      </c>
      <c r="D25" s="28">
        <f>B25-C25</f>
        <v/>
      </c>
    </row>
    <row r="26" ht="15" customHeight="1" s="22">
      <c r="A26" s="27" t="inlineStr">
        <is>
          <t>B2</t>
        </is>
      </c>
      <c r="B26" s="27" t="n">
        <v>24</v>
      </c>
      <c r="C26" s="28">
        <f>COUNTIF(B2!N6:N29,"Completa")</f>
        <v/>
      </c>
      <c r="D26" s="28">
        <f>B26-C26</f>
        <v/>
      </c>
    </row>
    <row r="27" ht="15" customHeight="1" s="22">
      <c r="A27" s="27" t="inlineStr">
        <is>
          <t>B3</t>
        </is>
      </c>
      <c r="B27" s="27" t="n">
        <v>24</v>
      </c>
      <c r="C27" s="28">
        <f>COUNTIF(B3!N6:N29,"Completa")</f>
        <v/>
      </c>
      <c r="D27" s="28">
        <f>B27-C27</f>
        <v/>
      </c>
    </row>
    <row r="28" ht="15" customHeight="1" s="22">
      <c r="A28" s="27" t="inlineStr">
        <is>
          <t>B4</t>
        </is>
      </c>
      <c r="B28" s="27" t="n">
        <v>24</v>
      </c>
      <c r="C28" s="28">
        <f>COUNTIF(B4!N6:N29,"Completa")</f>
        <v/>
      </c>
      <c r="D28" s="28">
        <f>B28-C28</f>
        <v/>
      </c>
    </row>
    <row r="29" ht="15" customHeight="1" s="22">
      <c r="A29" s="27" t="inlineStr">
        <is>
          <t>B5</t>
        </is>
      </c>
      <c r="B29" s="27" t="n">
        <v>24</v>
      </c>
      <c r="C29" s="28">
        <f>COUNTIF(B5!N6:N29,"Completa")</f>
        <v/>
      </c>
      <c r="D29" s="28">
        <f>B29-C29</f>
        <v/>
      </c>
    </row>
    <row r="30" ht="15" customHeight="1" s="22">
      <c r="A30" s="27" t="inlineStr">
        <is>
          <t>B6</t>
        </is>
      </c>
      <c r="B30" s="27" t="n">
        <v>24</v>
      </c>
      <c r="C30" s="28">
        <f>COUNTIF(B6!N6:N29,"Completa")</f>
        <v/>
      </c>
      <c r="D30" s="28">
        <f>B30-C30</f>
        <v/>
      </c>
    </row>
    <row r="31" ht="15" customHeight="1" s="22">
      <c r="A31" s="27" t="inlineStr">
        <is>
          <t>B7</t>
        </is>
      </c>
      <c r="B31" s="27" t="n">
        <v>24</v>
      </c>
      <c r="C31" s="28">
        <f>COUNTIF(B7!N6:N29,"Completa")</f>
        <v/>
      </c>
      <c r="D31" s="28">
        <f>B31-C31</f>
        <v/>
      </c>
    </row>
    <row r="32" ht="15" customHeight="1" s="22">
      <c r="A32" s="27" t="inlineStr">
        <is>
          <t>B8</t>
        </is>
      </c>
      <c r="B32" s="27" t="n">
        <v>24</v>
      </c>
      <c r="C32" s="28">
        <f>COUNTIF(B8!N6:N29,"Completa")</f>
        <v/>
      </c>
      <c r="D32" s="28">
        <f>B32-C32</f>
        <v/>
      </c>
    </row>
    <row r="33" ht="15" customHeight="1" s="22">
      <c r="A33" s="27" t="inlineStr">
        <is>
          <t>I1</t>
        </is>
      </c>
      <c r="B33" s="27" t="n">
        <v>24</v>
      </c>
      <c r="C33" s="28">
        <f>COUNTIF(I1!N6:N29,"Completa")</f>
        <v/>
      </c>
      <c r="D33" s="28">
        <f>B33-C33</f>
        <v/>
      </c>
    </row>
    <row r="34" ht="15" customHeight="1" s="22">
      <c r="A34" s="27" t="inlineStr">
        <is>
          <t>I2</t>
        </is>
      </c>
      <c r="B34" s="27" t="n">
        <v>24</v>
      </c>
      <c r="C34" s="28">
        <f>COUNTIF(I2!N6:N29,"Completa")</f>
        <v/>
      </c>
      <c r="D34" s="28">
        <f>B34-C34</f>
        <v/>
      </c>
    </row>
    <row r="35" ht="15" customHeight="1" s="22">
      <c r="A35" s="27" t="inlineStr">
        <is>
          <t>I3</t>
        </is>
      </c>
      <c r="B35" s="27" t="n">
        <v>24</v>
      </c>
      <c r="C35" s="28">
        <f>COUNTIF(I3!N6:N29,"Completa")</f>
        <v/>
      </c>
      <c r="D35" s="28">
        <f>B35-C35</f>
        <v/>
      </c>
    </row>
    <row r="36" ht="15" customHeight="1" s="22">
      <c r="A36" s="27" t="inlineStr">
        <is>
          <t>I4</t>
        </is>
      </c>
      <c r="B36" s="27" t="n">
        <v>24</v>
      </c>
      <c r="C36" s="28">
        <f>COUNTIF(I4!N6:N29,"Completa")</f>
        <v/>
      </c>
      <c r="D36" s="28">
        <f>B36-C36</f>
        <v/>
      </c>
    </row>
    <row r="37" ht="15" customHeight="1" s="22">
      <c r="A37" s="27" t="inlineStr">
        <is>
          <t>I5</t>
        </is>
      </c>
      <c r="B37" s="27" t="n">
        <v>24</v>
      </c>
      <c r="C37" s="28">
        <f>COUNTIF(I5!N6:N29,"Completa")</f>
        <v/>
      </c>
      <c r="D37" s="28">
        <f>B37-C37</f>
        <v/>
      </c>
    </row>
    <row r="38" ht="15" customHeight="1" s="22">
      <c r="A38" s="27" t="inlineStr">
        <is>
          <t>I6</t>
        </is>
      </c>
      <c r="B38" s="27" t="n">
        <v>24</v>
      </c>
      <c r="C38" s="28">
        <f>COUNTIF(I6!N6:N29,"Completa")</f>
        <v/>
      </c>
      <c r="D38" s="28">
        <f>B38-C38</f>
        <v/>
      </c>
    </row>
    <row r="39" ht="15" customHeight="1" s="22">
      <c r="A39" s="27" t="inlineStr">
        <is>
          <t>I7</t>
        </is>
      </c>
      <c r="B39" s="27" t="n">
        <v>24</v>
      </c>
      <c r="C39" s="28">
        <f>COUNTIF(I7!N6:N29,"Completa")</f>
        <v/>
      </c>
      <c r="D39" s="28">
        <f>B39-C39</f>
        <v/>
      </c>
    </row>
    <row r="40" ht="15" customHeight="1" s="22">
      <c r="A40" s="27" t="inlineStr">
        <is>
          <t>I8</t>
        </is>
      </c>
      <c r="B40" s="27" t="n">
        <v>24</v>
      </c>
      <c r="C40" s="28">
        <f>COUNTIF(I8!N6:N29,"Completa")</f>
        <v/>
      </c>
      <c r="D40" s="28">
        <f>B40-C40</f>
        <v/>
      </c>
    </row>
    <row r="41" ht="15" customHeight="1" s="22">
      <c r="A41" s="27" t="inlineStr">
        <is>
          <t>A1</t>
        </is>
      </c>
      <c r="B41" s="27" t="n">
        <v>24</v>
      </c>
      <c r="C41" s="28">
        <f>COUNTIF(A1!N6:N29,"Completa")</f>
        <v/>
      </c>
      <c r="D41" s="28">
        <f>B41-C41</f>
        <v/>
      </c>
    </row>
    <row r="42" ht="15" customHeight="1" s="22">
      <c r="A42" s="27" t="inlineStr">
        <is>
          <t>A2</t>
        </is>
      </c>
      <c r="B42" s="27" t="n">
        <v>24</v>
      </c>
      <c r="C42" s="28">
        <f>COUNTIF(A2!N6:N29,"Completa")</f>
        <v/>
      </c>
      <c r="D42" s="28">
        <f>B42-C42</f>
        <v/>
      </c>
    </row>
    <row r="43" ht="15" customHeight="1" s="22">
      <c r="A43" s="27" t="inlineStr">
        <is>
          <t>A3</t>
        </is>
      </c>
      <c r="B43" s="27" t="n">
        <v>24</v>
      </c>
      <c r="C43" s="28">
        <f>COUNTIF(A3!N6:N29,"Completa")</f>
        <v/>
      </c>
      <c r="D43" s="28">
        <f>B43-C43</f>
        <v/>
      </c>
    </row>
    <row r="44" ht="15" customHeight="1" s="22">
      <c r="A44" s="27" t="inlineStr">
        <is>
          <t>A4</t>
        </is>
      </c>
      <c r="B44" s="27" t="n">
        <v>24</v>
      </c>
      <c r="C44" s="28">
        <f>COUNTIF(A4!N6:N29,"Completa")</f>
        <v/>
      </c>
      <c r="D44" s="28">
        <f>B44-C44</f>
        <v/>
      </c>
    </row>
    <row r="45" ht="15" customHeight="1" s="22">
      <c r="A45" s="27" t="inlineStr">
        <is>
          <t>A5</t>
        </is>
      </c>
      <c r="B45" s="27" t="n">
        <v>24</v>
      </c>
      <c r="C45" s="28">
        <f>COUNTIF(A5!N6:N29,"Completa")</f>
        <v/>
      </c>
      <c r="D45" s="28">
        <f>B45-C45</f>
        <v/>
      </c>
    </row>
    <row r="46" ht="15" customHeight="1" s="22">
      <c r="A46" s="27" t="inlineStr">
        <is>
          <t>A6</t>
        </is>
      </c>
      <c r="B46" s="27" t="n">
        <v>24</v>
      </c>
      <c r="C46" s="28">
        <f>COUNTIF(A6!N6:N29,"Completa")</f>
        <v/>
      </c>
      <c r="D46" s="28">
        <f>B46-C46</f>
        <v/>
      </c>
    </row>
    <row r="47" ht="15" customHeight="1" s="22">
      <c r="A47" s="27" t="inlineStr">
        <is>
          <t>C3</t>
        </is>
      </c>
      <c r="B47" s="27" t="n">
        <v>24</v>
      </c>
      <c r="C47" s="28">
        <f>COUNTIF(C3!N6:N29,"Completa")</f>
        <v/>
      </c>
      <c r="D47" s="28">
        <f>B47-C47</f>
        <v/>
      </c>
    </row>
    <row r="48" ht="15" customHeight="1" s="22">
      <c r="A48" s="27" t="inlineStr">
        <is>
          <t>C7</t>
        </is>
      </c>
      <c r="B48" s="27" t="n">
        <v>24</v>
      </c>
      <c r="C48" s="28">
        <f>COUNTIF(C7!N6:N29,"Completa")</f>
        <v/>
      </c>
      <c r="D48" s="28">
        <f>B48-C48</f>
        <v/>
      </c>
    </row>
    <row r="49" ht="15" customHeight="1" s="22">
      <c r="A49" s="27" t="inlineStr">
        <is>
          <t>C8</t>
        </is>
      </c>
      <c r="B49" s="27" t="n">
        <v>24</v>
      </c>
      <c r="C49" s="28">
        <f>COUNTIF(C8!N6:N29,"Completa")</f>
        <v/>
      </c>
      <c r="D49" s="28">
        <f>B49-C49</f>
        <v/>
      </c>
    </row>
    <row r="50" ht="15" customHeight="1" s="22">
      <c r="A50" s="29" t="inlineStr">
        <is>
          <t>Total</t>
        </is>
      </c>
      <c r="B50" s="29">
        <f>SUM(B25:B49)</f>
        <v/>
      </c>
      <c r="C50" s="29">
        <f>SUM(C25:C49)</f>
        <v/>
      </c>
      <c r="D50" s="29">
        <f>SUM(D25:D49)</f>
        <v/>
      </c>
    </row>
    <row r="52" ht="15" customHeight="1" s="22">
      <c r="A52" s="30" t="inlineStr">
        <is>
          <t>Nombre del evaluador:</t>
        </is>
      </c>
      <c r="B52" s="31" t="n"/>
    </row>
    <row r="53" ht="15" customHeight="1" s="22">
      <c r="A53" s="30" t="inlineStr">
        <is>
          <t>Fechas de calificación:</t>
        </is>
      </c>
      <c r="B53" s="31" t="n"/>
    </row>
  </sheetData>
  <mergeCells count="23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1" min="1" max="1"/>
    <col width="34" customWidth="1" style="21" min="2" max="4"/>
    <col width="38" customWidth="1" style="21" min="5" max="5"/>
    <col width="22" customWidth="1" style="21" min="6" max="6"/>
  </cols>
  <sheetData>
    <row r="1" ht="16.15" customHeight="1" s="22">
      <c r="A1" s="32" t="inlineStr">
        <is>
          <t>[EVALUACIÓN IA — NO OFICIAL — solo para comparación con la evaluación humana] Rúbrica de evaluación — 5 criterios × 4 niveles</t>
        </is>
      </c>
    </row>
    <row r="2" ht="15" customHeight="1" s="22">
      <c r="A2" s="33" t="inlineStr">
        <is>
          <t>Fuente: Banco_de_Pruebas_v0.xlsx, hoja Rúbrica (2.5), sin cambios de redacción. Insuficiente = 0, Básico = 1, Competente = 2, Excelente = 3.</t>
        </is>
      </c>
    </row>
    <row r="4" ht="15" customHeight="1" s="22">
      <c r="A4" s="26" t="inlineStr">
        <is>
          <t>Criterio</t>
        </is>
      </c>
      <c r="B4" s="26" t="inlineStr">
        <is>
          <t>Insuficiente (0)</t>
        </is>
      </c>
      <c r="C4" s="26" t="inlineStr">
        <is>
          <t>Básico (1)</t>
        </is>
      </c>
      <c r="D4" s="26" t="inlineStr">
        <is>
          <t>Competente (2)</t>
        </is>
      </c>
      <c r="E4" s="26" t="inlineStr">
        <is>
          <t>Excelente (3)</t>
        </is>
      </c>
      <c r="F4" s="26" t="inlineStr">
        <is>
          <t>Fuente del criterio</t>
        </is>
      </c>
    </row>
    <row r="5" ht="78" customHeight="1" s="22">
      <c r="A5" s="34" t="inlineStr">
        <is>
          <t>Corrección funcional</t>
        </is>
      </c>
      <c r="B5" s="35" t="inlineStr">
        <is>
          <t>No implementa la lógica pedida o falla en el caso nominal.</t>
        </is>
      </c>
      <c r="C5" s="35" t="inlineStr">
        <is>
          <t>Funciona en el caso nominal pero falla en casos límite evidentes (flancos, reset, E-stop).</t>
        </is>
      </c>
      <c r="D5" s="35" t="inlineStr">
        <is>
          <t>Correcto en el caso nominal y en la mayoría de los casos límite; fallas menores sin riesgo.</t>
        </is>
      </c>
      <c r="E5" s="35" t="inlineStr">
        <is>
          <t>Correcto en todos los casos probados, incluidos límites y secuencias de fallo.</t>
        </is>
      </c>
      <c r="F5" s="35" t="inlineStr">
        <is>
          <t>IEC 61508 / simulación CODESYS</t>
        </is>
      </c>
    </row>
    <row r="6" ht="78" customHeight="1" s="22">
      <c r="A6" s="34" t="inlineStr">
        <is>
          <t>Cumplimiento IEC 61131-3</t>
        </is>
      </c>
      <c r="B6" s="35" t="inlineStr">
        <is>
          <t>No compila; sintaxis o declaraciones inválidas.</t>
        </is>
      </c>
      <c r="C6" s="35" t="inlineStr">
        <is>
          <t>Compila solo tras correcciones menores, o usa extensiones fuera del estándar.</t>
        </is>
      </c>
      <c r="D6" s="35" t="inlineStr">
        <is>
          <t>Compila sin cambios; declaraciones y tipos correctos.</t>
        </is>
      </c>
      <c r="E6" s="35" t="inlineStr">
        <is>
          <t>Compila sin cambios y usa construcciones idiomáticas del estándar (POU adecuado, tipos TIME correctos, FB estándar bien instanciados).</t>
        </is>
      </c>
      <c r="F6" s="35" t="inlineStr">
        <is>
          <t>IEC 61131-3 / compilador CODESYS</t>
        </is>
      </c>
    </row>
    <row r="7" ht="78" customHeight="1" s="22">
      <c r="A7" s="34" t="inlineStr">
        <is>
          <t>Coherencia lógica</t>
        </is>
      </c>
      <c r="B7" s="35" t="inlineStr">
        <is>
          <t>Condiciones contradictorias, variables sin inicializar con efecto, o estados muertos que impiden operar.</t>
        </is>
      </c>
      <c r="C7" s="35" t="inlineStr">
        <is>
          <t>Lógica mayormente coherente con redundancias o condiciones muertas sin efecto grave.</t>
        </is>
      </c>
      <c r="D7" s="35" t="inlineStr">
        <is>
          <t>Sin contradicciones; inicialización correcta; transiciones completas.</t>
        </is>
      </c>
      <c r="E7" s="35" t="inlineStr">
        <is>
          <t>Además, robusta: interlocks completos, sin estados inalcanzables, comportamiento seguro ante entradas simultáneas.</t>
        </is>
      </c>
      <c r="F7" s="35" t="inlineStr">
        <is>
          <t>Análisis técnico + simulación</t>
        </is>
      </c>
    </row>
    <row r="8" ht="78" customHeight="1" s="22">
      <c r="A8" s="34" t="inlineStr">
        <is>
          <t>Claridad estructural</t>
        </is>
      </c>
      <c r="B8" s="35" t="inlineStr">
        <is>
          <t>Sin estructura reconocible; nombres crípticos; sin comentarios.</t>
        </is>
      </c>
      <c r="C8" s="35" t="inlineStr">
        <is>
          <t>Estructura básica pero nombres pobres o comentarios ausentes/incorrectos.</t>
        </is>
      </c>
      <c r="D8" s="35" t="inlineStr">
        <is>
          <t>Nombres descriptivos, secciones ordenadas, comentarios útiles.</t>
        </is>
      </c>
      <c r="E8" s="35" t="inlineStr">
        <is>
          <t>Además, modularización adecuada (FB reutilizable, separación lógica/E/S) y comentarios que explican el porqué.</t>
        </is>
      </c>
      <c r="F8" s="35" t="inlineStr">
        <is>
          <t>Clean Code (Martin)</t>
        </is>
      </c>
    </row>
    <row r="9" ht="78" customHeight="1" s="22">
      <c r="A9" s="34" t="inlineStr">
        <is>
          <t>Mantenibilidad</t>
        </is>
      </c>
      <c r="B9" s="35" t="inlineStr">
        <is>
          <t>Valores mágicos por doquier; imposible modificar sin reescribir.</t>
        </is>
      </c>
      <c r="C9" s="35" t="inlineStr">
        <is>
          <t>Modificable con esfuerzo; constantes parcialmente parametrizadas.</t>
        </is>
      </c>
      <c r="D9" s="35" t="inlineStr">
        <is>
          <t>Parámetros como variables/constantes declaradas; cambios localizados.</t>
        </is>
      </c>
      <c r="E9" s="35" t="inlineStr">
        <is>
          <t>Además, diseño extensible (parámetros de entrada del FB, sin duplicación de lógica).</t>
        </is>
      </c>
      <c r="F9" s="35" t="inlineStr">
        <is>
          <t>ISO/IEC 25010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B1 — Arranque/paro de motor con enclavamiento (Basico)</t>
        </is>
      </c>
    </row>
    <row r="2" ht="15" customHeight="1" s="22">
      <c r="A2" s="33" t="inlineStr">
        <is>
          <t>Lee cada respuesta por su código en respuestas/Respuestas_B1.html.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B1-3577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3</v>
      </c>
      <c r="H6" s="40">
        <f>IF(COUNT(C6:G6)=5,SUM(C6:G6),"")</f>
        <v/>
      </c>
      <c r="I6" s="42" t="inlineStr">
        <is>
          <t>Compila y pasa los 7 pasos; usa R_TRIG estándar bien instanciado dentro de un FUNCTION_BLOCK: idiomático.</t>
        </is>
      </c>
      <c r="J6" s="42" t="inlineStr">
        <is>
          <t>Enclavamiento con paro dominante y flanco R_TRIG: sin rearranque tras emergencia, sin estados muertos, seguro ante entradas simultáneas.</t>
        </is>
      </c>
      <c r="K6" s="42" t="inlineStr">
        <is>
          <t>Nombres descriptivos y comentarios que explican por qué se usa el flanco; FB compacto y reutilizable.</t>
        </is>
      </c>
      <c r="L6" s="42" t="inlineStr">
        <is>
          <t>Una sola expresión sin duplicación ni valores mágicos; fácil de extender con nuevas condiciones de paro.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B1-8070</t>
        </is>
      </c>
      <c r="B7" s="39" t="inlineStr">
        <is>
          <t>No compila (12 errores).</t>
        </is>
      </c>
      <c r="C7" s="40" t="n">
        <v>0</v>
      </c>
      <c r="D7" s="40" t="n">
        <v>0</v>
      </c>
      <c r="E7" s="41" t="n">
        <v>1</v>
      </c>
      <c r="F7" s="41" t="n">
        <v>2</v>
      </c>
      <c r="G7" s="41" t="n">
        <v>2</v>
      </c>
      <c r="H7" s="40">
        <f>IF(COUNT(C7:G7)=5,SUM(C7:G7),"")</f>
        <v/>
      </c>
      <c r="I7" s="39" t="inlineStr"/>
      <c r="J7" s="42" t="inlineStr">
        <is>
          <t>Bloqueo de emergencia permanente sin ninguna vía de reset: tras la primera emergencia el motor queda inoperable (estado terminal). Rama ELSEIF emergenciaActiva redundante.</t>
        </is>
      </c>
      <c r="K7" s="42" t="inlineStr">
        <is>
          <t>Comentarios útiles y nombres claros; el comentario 'Programa principal' es impreciso en un FB.</t>
        </is>
      </c>
      <c r="L7" s="42" t="inlineStr">
        <is>
          <t>Sin valores mágicos y cambios localizados, pero la cadena de ramas duplica asignaciones a motorOn.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B1-4667</t>
        </is>
      </c>
      <c r="B8" s="39" t="inlineStr">
        <is>
          <t>Compila. Pasa los 7 pasos del harness.</t>
        </is>
      </c>
      <c r="C8" s="40" t="n">
        <v>3</v>
      </c>
      <c r="D8" s="41" t="n">
        <v>2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Compila y pasa los 7 pasos; declaraciones y tipos correctos con IF/ELSIF estándar, sin FB estándar de flanco.</t>
        </is>
      </c>
      <c r="J8" s="42" t="inlineStr">
        <is>
          <t>Bloqueo de emergencia que se libera solo sin emergencia y sin marcha pulsada: evita rearranque y no deja estados muertos.</t>
        </is>
      </c>
      <c r="K8" s="42" t="inlineStr">
        <is>
          <t>Nombres claros y comentarios que explican el porqué de la condición de liberación del bloqueo.</t>
        </is>
      </c>
      <c r="L8" s="42" t="inlineStr">
        <is>
          <t>Sin valores mágicos y lógica localizada; la condición de liberación está separada y es fácil de modificar.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B1-3153</t>
        </is>
      </c>
      <c r="B9" s="39" t="inlineStr">
        <is>
          <t>Compila. Falla 1 de 7 pasos del harness (pasos 6; numerados desde 0).</t>
        </is>
      </c>
      <c r="C9" s="41" t="n">
        <v>1</v>
      </c>
      <c r="D9" s="41" t="n">
        <v>2</v>
      </c>
      <c r="E9" s="41" t="n">
        <v>2</v>
      </c>
      <c r="F9" s="41" t="n">
        <v>1</v>
      </c>
      <c r="G9" s="41" t="n">
        <v>2</v>
      </c>
      <c r="H9" s="40">
        <f>IF(COUNT(C9:G9)=5,SUM(C9:G9),"")</f>
        <v/>
      </c>
      <c r="I9" s="42" t="inlineStr">
        <is>
          <t>Compila; falla el paso 6 (rearranca tras liberar la emergencia con marcha pulsada): falla un caso límite de E-stop.</t>
        </is>
      </c>
      <c r="J9" s="42" t="inlineStr">
        <is>
          <t>Lógica coherente con paro prioritario, pero sin enclavamiento de emergencia; variable interna redundante con la salida.</t>
        </is>
      </c>
      <c r="K9" s="42" t="inlineStr">
        <is>
          <t>Estructura clara pero el comentario afirma que tras la emergencia 'no puede rearrancar', lo cual es incorrecto.</t>
        </is>
      </c>
      <c r="L9" s="42" t="inlineStr">
        <is>
          <t>Sin valores mágicos y lógica localizada en un IF; cambios sencillos.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B1-3916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3</v>
      </c>
      <c r="H10" s="40">
        <f>IF(COUNT(C10:G10)=5,SUM(C10:G10),"")</f>
        <v/>
      </c>
      <c r="I10" s="42" t="inlineStr">
        <is>
          <t>Compila y pasa los 7 pasos; usa R_TRIG estándar bien instanciado dentro de un FUNCTION_BLOCK: idiomático.</t>
        </is>
      </c>
      <c r="J10" s="42" t="inlineStr">
        <is>
          <t>Enclavamiento con paro dominante y flanco R_TRIG: sin rearranque tras emergencia, sin estados muertos, seguro ante entradas simultáneas.</t>
        </is>
      </c>
      <c r="K10" s="42" t="inlineStr">
        <is>
          <t>Nombres descriptivos y comentarios que explican por qué se usa el flanco; FB compacto y reutilizable.</t>
        </is>
      </c>
      <c r="L10" s="42" t="inlineStr">
        <is>
          <t>Una sola expresión sin duplicación ni valores mágicos; fácil de extender con nuevas condiciones de paro.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B1-4316</t>
        </is>
      </c>
      <c r="B11" s="39" t="inlineStr">
        <is>
          <t>Compila. Pasa los 7 pasos del harness.</t>
        </is>
      </c>
      <c r="C11" s="40" t="n">
        <v>3</v>
      </c>
      <c r="D11" s="41" t="n">
        <v>2</v>
      </c>
      <c r="E11" s="41" t="n">
        <v>2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 y pasa los 7 pasos; declaraciones correctas con IF/ELSIF, sin construcciones estándar de flanco.</t>
        </is>
      </c>
      <c r="J11" s="42" t="inlineStr">
        <is>
          <t>Sin contradicciones funcionales; bloqueo liberado sin emergencia ni marcha; condición 'bloqueado' parcialmente redundante con btnEmerg.</t>
        </is>
      </c>
      <c r="K11" s="42" t="inlineStr">
        <is>
          <t>Secciones numeradas y comentarios extensos, aunque el comentario inicial ('solo se resetea manualmente', 'flanco o nivel') contradice el código.</t>
        </is>
      </c>
      <c r="L11" s="42" t="inlineStr">
        <is>
          <t>Sin valores mágicos; lógica separada en pasos, fácil de ajustar.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B1-7103</t>
        </is>
      </c>
      <c r="B12" s="39" t="inlineStr">
        <is>
          <t>Compila. Falla 1 de 7 pasos del harness (pasos 6; numerados desde 0).</t>
        </is>
      </c>
      <c r="C12" s="41" t="n">
        <v>1</v>
      </c>
      <c r="D12" s="41" t="n">
        <v>2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Compila; falla el paso 6 (rearranque con marcha mantenida tras emergencia): falla caso límite de E-stop.</t>
        </is>
      </c>
      <c r="J12" s="42" t="inlineStr">
        <is>
          <t>Lógica coherente con paro prioritario, pero sin enclavamiento de emergencia; variable interna redundante con la salida.</t>
        </is>
      </c>
      <c r="K12" s="42" t="inlineStr">
        <is>
          <t>Nombres descriptivos y comentarios breves correctos; estructura simple.</t>
        </is>
      </c>
      <c r="L12" s="42" t="inlineStr">
        <is>
          <t>Sin valores mágicos; lógica localizada en un IF.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B1-3006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1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Compila y pasa los 7 pasos; declaraciones correctas con IF/ELSIF, sin FB estándar de flanco.</t>
        </is>
      </c>
      <c r="J13" s="42" t="inlineStr">
        <is>
          <t>Bloqueo de emergencia permanente sin ninguna vía de reset: tras la primera emergencia el motor queda inoperable (estado terminal).</t>
        </is>
      </c>
      <c r="K13" s="42" t="inlineStr">
        <is>
          <t>Bloque de comentarios y secciones claras; el comentario menciona un 'reset manual' que no existe en el código.</t>
        </is>
      </c>
      <c r="L13" s="42" t="inlineStr">
        <is>
          <t>Sin valores mágicos; cambios localizados, aunque añadir el reset exigiría tocar la interfaz.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B1-7637</t>
        </is>
      </c>
      <c r="B14" s="39" t="inlineStr">
        <is>
          <t>Compila. Pasa los 7 pasos del harness.</t>
        </is>
      </c>
      <c r="C14" s="40" t="n">
        <v>3</v>
      </c>
      <c r="D14" s="41" t="n">
        <v>2</v>
      </c>
      <c r="E14" s="41" t="n">
        <v>1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Compila y pasa los 7 pasos; declaraciones correctas con IF/ELSIF, sin FB estándar.</t>
        </is>
      </c>
      <c r="J14" s="42" t="inlineStr">
        <is>
          <t>Bloqueo de emergencia permanente sin ninguna vía de reset: tras la primera emergencia el motor queda inoperable (estado terminal). Rama ELSIF emergenciaActiva redundante.</t>
        </is>
      </c>
      <c r="K14" s="42" t="inlineStr">
        <is>
          <t>Nombres claros y comentarios útiles en cada rama.</t>
        </is>
      </c>
      <c r="L14" s="42" t="inlineStr">
        <is>
          <t>Sin valores mágicos y cambios localizados; asignaciones a motorOn repetidas en varias ramas.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B1-3504</t>
        </is>
      </c>
      <c r="B15" s="39" t="inlineStr">
        <is>
          <t>Compila. Pasa los 7 pasos del harness.</t>
        </is>
      </c>
      <c r="C15" s="40" t="n">
        <v>3</v>
      </c>
      <c r="D15" s="41" t="n">
        <v>2</v>
      </c>
      <c r="E15" s="41" t="n">
        <v>1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Compila y pasa los 7 pasos; declaraciones correctas con IF/ELSIF, sin FB estándar.</t>
        </is>
      </c>
      <c r="J15" s="42" t="inlineStr">
        <is>
          <t>Bloqueo de emergencia permanente sin ninguna vía de reset: tras la primera emergencia el motor queda inoperable (estado terminal).</t>
        </is>
      </c>
      <c r="K15" s="42" t="inlineStr">
        <is>
          <t>Comentarios de sección y explicación de la auto-retención; menciona un 'reset manual' inexistente.</t>
        </is>
      </c>
      <c r="L15" s="42" t="inlineStr">
        <is>
          <t>Sin valores mágicos y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B1-1729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3</v>
      </c>
      <c r="H16" s="40">
        <f>IF(COUNT(C16:G16)=5,SUM(C16:G16),"")</f>
        <v/>
      </c>
      <c r="I16" s="42" t="inlineStr">
        <is>
          <t>Compila y pasa los 7 pasos; usa R_TRIG estándar bien instanciado dentro de un FUNCTION_BLOCK: idiomático.</t>
        </is>
      </c>
      <c r="J16" s="42" t="inlineStr">
        <is>
          <t>Enclavamiento con paro dominante y flanco R_TRIG: sin rearranque tras emergencia, sin estados muertos, seguro ante entradas simultáneas.</t>
        </is>
      </c>
      <c r="K16" s="42" t="inlineStr">
        <is>
          <t>Nombres descriptivos y comentarios que explican por qué se usa el flanco; FB compacto y reutilizable.</t>
        </is>
      </c>
      <c r="L16" s="42" t="inlineStr">
        <is>
          <t>Una sola expresión sin duplicación ni valores mágicos; fácil de extender con nuevas condiciones de paro.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B1-8468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pasa los 7 pasos; declaraciones correctas con IF/ELSIF.</t>
        </is>
      </c>
      <c r="J17" s="42" t="inlineStr">
        <is>
          <t>Bloqueo de emergencia permanente sin ninguna vía de reset: tras la primera emergencia el motor queda inoperable (estado terminal). Variable estadoMotor redundante con la salida.</t>
        </is>
      </c>
      <c r="K17" s="42" t="inlineStr">
        <is>
          <t>Nombres descriptivos y comentarios útiles por rama.</t>
        </is>
      </c>
      <c r="L17" s="42" t="inlineStr">
        <is>
          <t>Sin valores mágicos; cambios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B1-2708</t>
        </is>
      </c>
      <c r="B18" s="39" t="inlineStr">
        <is>
          <t>Compila. Falla 1 de 7 pasos del harness (pasos 6; numerados desde 0).</t>
        </is>
      </c>
      <c r="C18" s="41" t="n">
        <v>1</v>
      </c>
      <c r="D18" s="41" t="n">
        <v>2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Compila; falla el paso 6: el bloqueo se libera en cuanto se suelta la emergencia y la marcha mantenida rearranca el motor.</t>
        </is>
      </c>
      <c r="J18" s="42" t="inlineStr">
        <is>
          <t>El bloqueo se libera con NOT motorOn, que siempre es cierto tras la emergencia: el interlock queda sin efecto real.</t>
        </is>
      </c>
      <c r="K18" s="42" t="inlineStr">
        <is>
          <t>Nombres claros y comentarios ordenados, aunque prometen un bloqueo que no actúa.</t>
        </is>
      </c>
      <c r="L18" s="42" t="inlineStr">
        <is>
          <t>Sin valores mágicos; lógica separada en tres bloques localizados.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B1-7716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3</v>
      </c>
      <c r="H19" s="40">
        <f>IF(COUNT(C19:G19)=5,SUM(C19:G19),"")</f>
        <v/>
      </c>
      <c r="I19" s="42" t="inlineStr">
        <is>
          <t>Compila y pasa los 7 pasos; usa R_TRIG estándar bien instanciado dentro de un FUNCTION_BLOCK: idiomático.</t>
        </is>
      </c>
      <c r="J19" s="42" t="inlineStr">
        <is>
          <t>Enclavamiento con paro dominante y flanco R_TRIG: sin rearranque tras emergencia, sin estados muertos, seguro ante entradas simultáneas.</t>
        </is>
      </c>
      <c r="K19" s="42" t="inlineStr">
        <is>
          <t>Nombres descriptivos y comentarios que explican por qué se usa el flanco; FB compacto y reutilizable.</t>
        </is>
      </c>
      <c r="L19" s="42" t="inlineStr">
        <is>
          <t>Una sola expresión sin duplicación ni valores mágicos; fácil de extender con nuevas condiciones de paro.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B1-4160</t>
        </is>
      </c>
      <c r="B20" s="39" t="inlineStr">
        <is>
          <t>No compila (12 errores).</t>
        </is>
      </c>
      <c r="C20" s="40" t="n">
        <v>0</v>
      </c>
      <c r="D20" s="40" t="n">
        <v>0</v>
      </c>
      <c r="E20" s="41" t="n">
        <v>1</v>
      </c>
      <c r="F20" s="41" t="n">
        <v>2</v>
      </c>
      <c r="G20" s="41" t="n">
        <v>2</v>
      </c>
      <c r="H20" s="40">
        <f>IF(COUNT(C20:G20)=5,SUM(C20:G20),"")</f>
        <v/>
      </c>
      <c r="I20" s="39" t="inlineStr"/>
      <c r="J20" s="42" t="inlineStr">
        <is>
          <t>Bloqueo de emergencia permanente sin ninguna vía de reset: tras la primera emergencia el motor queda inoperable (estado terminal). Rama ELSEIF emergenciaActiva redundante.</t>
        </is>
      </c>
      <c r="K20" s="42" t="inlineStr">
        <is>
          <t>Comentarios útiles y nombres claros; 'Programa principal' es impreciso en un FB.</t>
        </is>
      </c>
      <c r="L20" s="42" t="inlineStr">
        <is>
          <t>Sin valores mágicos y cambios localizados; asignaciones repetidas a motorOn.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B1-3776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1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pasa los 7 pasos; declaraciones correctas, IF anidado en lugar de ELSIF.</t>
        </is>
      </c>
      <c r="J21" s="42" t="inlineStr">
        <is>
          <t>Bloqueo de emergencia permanente sin ninguna vía de reset: tras la primera emergencia el motor queda inoperable (estado terminal).</t>
        </is>
      </c>
      <c r="K21" s="42" t="inlineStr">
        <is>
          <t>Nombres descriptivos y comentarios correctos; IF anidado menos legible que ELSIF.</t>
        </is>
      </c>
      <c r="L21" s="42" t="inlineStr">
        <is>
          <t>Sin valores mágicos; enclavamiento en una línea fácil de ajustar.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B1-1689</t>
        </is>
      </c>
      <c r="B22" s="39" t="inlineStr">
        <is>
          <t>Compila. Falla 1 de 7 pasos del harness (pasos 6; numerados desde 0).</t>
        </is>
      </c>
      <c r="C22" s="41" t="n">
        <v>1</v>
      </c>
      <c r="D22" s="41" t="n">
        <v>2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Compila; falla el paso 6 (rearranque con marcha mantenida tras emergencia): falla caso límite de E-stop.</t>
        </is>
      </c>
      <c r="J22" s="42" t="inlineStr">
        <is>
          <t>Lógica coherente con paro prioritario, pero sin enclavamiento de emergencia; variable interna redundante con la salida.</t>
        </is>
      </c>
      <c r="K22" s="42" t="inlineStr">
        <is>
          <t>Nombres descriptivos y comentarios breves correctos.</t>
        </is>
      </c>
      <c r="L22" s="42" t="inlineStr">
        <is>
          <t>Sin valores mágicos; lógica localizada.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B1-7970</t>
        </is>
      </c>
      <c r="B23" s="39" t="inlineStr">
        <is>
          <t>Compila. Falla 1 de 7 pasos del harness (pasos 6; numerados desde 0).</t>
        </is>
      </c>
      <c r="C23" s="41" t="n">
        <v>1</v>
      </c>
      <c r="D23" s="41" t="n">
        <v>2</v>
      </c>
      <c r="E23" s="41" t="n">
        <v>1</v>
      </c>
      <c r="F23" s="41" t="n">
        <v>1</v>
      </c>
      <c r="G23" s="41" t="n">
        <v>1</v>
      </c>
      <c r="H23" s="40">
        <f>IF(COUNT(C23:G23)=5,SUM(C23:G23),"")</f>
        <v/>
      </c>
      <c r="I23" s="42" t="inlineStr">
        <is>
          <t>Compila; falla el paso 6: el latch de emergencia se borra en cuanto btnEmerg vuelve a FALSE y el motor rearranca.</t>
        </is>
      </c>
      <c r="J23" s="42" t="inlineStr">
        <is>
          <t>El latch de emergencia se resetea en el mismo ciclo en que cae btnEmerg (sin efecto) y motorOn se asigna en dos IF sucesivos; redundancias.</t>
        </is>
      </c>
      <c r="K23" s="42" t="inlineStr">
        <is>
          <t>Nombres aceptables pero lógica enmarañada en tres IF; comentario de reset ('si el motor está apagado') no corresponde al código.</t>
        </is>
      </c>
      <c r="L23" s="42" t="inlineStr">
        <is>
          <t>Dos latches y asignaciones repetidas a motorOn; modificar exige revisar varios bloques.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B1-2577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Compila y pasa los 7 pasos; declaraciones correctas con IF/ELSIF.</t>
        </is>
      </c>
      <c r="J24" s="42" t="inlineStr">
        <is>
          <t>Bloqueo de emergencia con reset definido por pulsación de paro, paro dominante; sin estados muertos y seguro ante entradas simultáneas.</t>
        </is>
      </c>
      <c r="K24" s="42" t="inlineStr">
        <is>
          <t>Nombres claros y comentarios útiles sobre bloqueo y auto-retención.</t>
        </is>
      </c>
      <c r="L24" s="42" t="inlineStr">
        <is>
          <t>Sin valores mágicos; lógica de bloqueo y desbloqueo separada y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B1-2078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3</v>
      </c>
      <c r="H25" s="40">
        <f>IF(COUNT(C25:G25)=5,SUM(C25:G25),"")</f>
        <v/>
      </c>
      <c r="I25" s="42" t="inlineStr">
        <is>
          <t>Compila y pasa los 7 pasos; usa R_TRIG estándar bien instanciado dentro de un FUNCTION_BLOCK: idiomático.</t>
        </is>
      </c>
      <c r="J25" s="42" t="inlineStr">
        <is>
          <t>Enclavamiento con paro dominante y flanco R_TRIG: sin rearranque tras emergencia, sin estados muertos, seguro ante entradas simultáneas.</t>
        </is>
      </c>
      <c r="K25" s="42" t="inlineStr">
        <is>
          <t>Nombres descriptivos y comentarios que explican por qué se usa el flanco; FB compacto y reutilizable.</t>
        </is>
      </c>
      <c r="L25" s="42" t="inlineStr">
        <is>
          <t>Una sola expresión sin duplicación ni valores mágicos; fácil de extender con nuevas condiciones de paro.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B1-2077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3</v>
      </c>
      <c r="H26" s="40">
        <f>IF(COUNT(C26:G26)=5,SUM(C26:G26),"")</f>
        <v/>
      </c>
      <c r="I26" s="42" t="inlineStr">
        <is>
          <t>Compila y pasa los 7 pasos; usa R_TRIG estándar bien instanciado dentro de un FUNCTION_BLOCK: idiomático.</t>
        </is>
      </c>
      <c r="J26" s="42" t="inlineStr">
        <is>
          <t>Enclavamiento con paro dominante y flanco R_TRIG: sin rearranque tras emergencia, sin estados muertos, seguro ante entradas simultáneas.</t>
        </is>
      </c>
      <c r="K26" s="42" t="inlineStr">
        <is>
          <t>Nombres descriptivos y comentarios que explican por qué se usa el flanco; FB compacto y reutilizable.</t>
        </is>
      </c>
      <c r="L26" s="42" t="inlineStr">
        <is>
          <t>Una sola expresión sin duplicación ni valores mágicos; fácil de extender con nuevas condiciones de paro.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B1-6475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1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Compila y pasa los 7 pasos; declaraciones correctas con IF/ELSIF.</t>
        </is>
      </c>
      <c r="J27" s="42" t="inlineStr">
        <is>
          <t>Bloqueo de emergencia permanente sin ninguna vía de reset: tras la primera emergencia el motor queda inoperable (estado terminal). Rama ELSIF estadoEmergencia redundante.</t>
        </is>
      </c>
      <c r="K27" s="42" t="inlineStr">
        <is>
          <t>Nombres claros y comentario general, sin comentarios por rama.</t>
        </is>
      </c>
      <c r="L27" s="42" t="inlineStr">
        <is>
          <t>Sin valores mágicos; asignaciones repetidas a motorOn.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B1-9711</t>
        </is>
      </c>
      <c r="B28" s="39" t="inlineStr">
        <is>
          <t>Compila. Pasa los 7 pasos del harness.</t>
        </is>
      </c>
      <c r="C28" s="40" t="n">
        <v>3</v>
      </c>
      <c r="D28" s="41" t="n">
        <v>2</v>
      </c>
      <c r="E28" s="41" t="n">
        <v>1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Compila y pasa los 7 pasos; declaraciones correctas con IF/ELSIF.</t>
        </is>
      </c>
      <c r="J28" s="42" t="inlineStr">
        <is>
          <t>Bloqueo de emergencia permanente sin ninguna vía de reset: tras la primera emergencia el motor queda inoperable (estado terminal). Rama ELSIF estadoEmergencia redundante.</t>
        </is>
      </c>
      <c r="K28" s="42" t="inlineStr">
        <is>
          <t>Nombres claros y comentario general, sin comentarios por rama.</t>
        </is>
      </c>
      <c r="L28" s="42" t="inlineStr">
        <is>
          <t>Sin valores mágicos; asignaciones repetidas a motorOn.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B1-4469</t>
        </is>
      </c>
      <c r="B29" s="39" t="inlineStr">
        <is>
          <t>Compila. Falla 1 de 7 pasos del harness (pasos 6; numerados desde 0).</t>
        </is>
      </c>
      <c r="C29" s="41" t="n">
        <v>1</v>
      </c>
      <c r="D29" s="41" t="n">
        <v>2</v>
      </c>
      <c r="E29" s="41" t="n">
        <v>1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Compila; falla el paso 6: emergStop se resetea con el motor apagado, por lo que no bloquea el rearranque.</t>
        </is>
      </c>
      <c r="J29" s="42" t="inlineStr">
        <is>
          <t>emergStop se borra en cuanto motorOn es FALSE (interlock sin efecto) y motorLatch es una autoasignación redundante.</t>
        </is>
      </c>
      <c r="K29" s="42" t="inlineStr">
        <is>
          <t>Comentarios que describen un latch y un bloqueo que no funcionan como dicen; estructura confusa.</t>
        </is>
      </c>
      <c r="L29" s="42" t="inlineStr">
        <is>
          <t>Variables redundantes y bloques innecesarios; modificar requiere entender interacciones ocultas.</t>
        </is>
      </c>
      <c r="M29" s="42" t="n"/>
      <c r="N29" s="40">
        <f>IF(COUNT(C29:G29)=5,"Completa","Falta")</f>
        <v/>
      </c>
    </row>
    <row r="30"/>
  </sheetData>
  <dataValidations count="3">
    <dataValidation sqref="C9 C12 C18 C22: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19 D21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B2 — Válvula con retardo TON (Basico)</t>
        </is>
      </c>
    </row>
    <row r="2" ht="15" customHeight="1" s="22">
      <c r="A2" s="33" t="inlineStr">
        <is>
          <t>Lee cada respuesta por su código en respuestas/Respuestas_B2.html.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B2-9847</t>
        </is>
      </c>
      <c r="B6" s="39" t="inlineStr">
        <is>
          <t>Compila. Pasa los 6 pasos del harness.</t>
        </is>
      </c>
      <c r="C6" s="40" t="n">
        <v>3</v>
      </c>
      <c r="D6" s="41" t="n">
        <v>2</v>
      </c>
      <c r="E6" s="41" t="n">
        <v>1</v>
      </c>
      <c r="F6" s="41" t="n">
        <v>1</v>
      </c>
      <c r="G6" s="41" t="n">
        <v>1</v>
      </c>
      <c r="H6" s="40">
        <f>IF(COUNT(C6:G6)=5,SUM(C6:G6),"")</f>
        <v/>
      </c>
      <c r="I6" s="42" t="inlineStr">
        <is>
          <t>Compila y pasa los 6 pasos; TON llamado de forma condicional y en dos puntos, práctica no idiomática.</t>
        </is>
      </c>
      <c r="J6" s="42" t="inlineStr">
        <is>
          <t>El TON solo se llama mientras Q es FALSE y se reinicia en otra rama; variable 'estado' redundante.</t>
        </is>
      </c>
      <c r="K6" s="42" t="inlineStr">
        <is>
          <t>Nombres genéricos (timer, estado) y comentario 'Inicialización del timer' incorrecto.</t>
        </is>
      </c>
      <c r="L6" s="42" t="inlineStr">
        <is>
          <t>Llamadas al temporizador duplicadas; modificar el retardo exige revisar varios puntos.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B2-6674</t>
        </is>
      </c>
      <c r="B7" s="39" t="inlineStr">
        <is>
          <t>Compila. Pasa los 6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y pasa los 6 pasos; TON estándar instanciado y llamado una vez por ciclo con T#5S: idiomático.</t>
        </is>
      </c>
      <c r="J7" s="42" t="inlineStr">
        <is>
          <t>Lógica mínima y directa (salida = TON.Q): sin estados muertos, cierre inmediato garantizado por el reset del TON.</t>
        </is>
      </c>
      <c r="K7" s="42" t="inlineStr">
        <is>
          <t>Nombres descriptivos y comentario breve correcto; no explica el mecanismo de cierre inmediato.</t>
        </is>
      </c>
      <c r="L7" s="42" t="inlineStr">
        <is>
          <t>Sin duplicación; el tiempo está en un único punto, aunque T#5S va literal en la llamada y no como parámetro del FB.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B2-1651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1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Compila y pasa los 6 pasos; el TON se llama varias veces por ciclo en ramas distintas, no idiomático.</t>
        </is>
      </c>
      <c r="J8" s="42" t="inlineStr">
        <is>
          <t>Dos IF que repiten el mismo reinicio del TON y de 'estado': redundancias sin efecto grave.</t>
        </is>
      </c>
      <c r="K8" s="42" t="inlineStr">
        <is>
          <t>Nombres genéricos y comentario 'Inicialización del timer' que no corresponde al código.</t>
        </is>
      </c>
      <c r="L8" s="42" t="inlineStr">
        <is>
          <t>Lógica duplicada en dos bloques; un cambio debe replicarse.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B2-3609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Compila y pasa los 6 pasos; TON estándar instanciado y llamado una vez por ciclo con T#5S: idiomático.</t>
        </is>
      </c>
      <c r="J9" s="42" t="inlineStr">
        <is>
          <t>Lógica mínima y directa (salida = TON.Q): sin estados muertos, cierre inmediato garantizado por el reset del TON.</t>
        </is>
      </c>
      <c r="K9" s="42" t="inlineStr">
        <is>
          <t>Nombres descriptivos y comentario breve correcto; no explica el mecanismo de cierre inmediato.</t>
        </is>
      </c>
      <c r="L9" s="42" t="inlineStr">
        <is>
          <t>Sin duplicación; el tiempo está en un único punto, aunque T#5S va literal en la llamada y no como parámetro del FB.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B2-5560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Compila y pasa los 6 pasos; TON estándar instanciado y llamado una vez por ciclo con T#5S: idiomático.</t>
        </is>
      </c>
      <c r="J10" s="42" t="inlineStr">
        <is>
          <t>Lógica mínima y directa (salida = TON.Q): sin estados muertos, cierre inmediato garantizado por el reset del TON.</t>
        </is>
      </c>
      <c r="K10" s="42" t="inlineStr">
        <is>
          <t>Nombres descriptivos y comentarios que explican por qué la válvula cierra de inmediato (reset del TON).</t>
        </is>
      </c>
      <c r="L10" s="42" t="inlineStr">
        <is>
          <t>Sin duplicación; el tiempo está en un único punto, aunque T#5S va literal en la llamada y no como parámetro del FB.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B2-5675</t>
        </is>
      </c>
      <c r="B11" s="39" t="inlineStr">
        <is>
          <t>Compila. Pasa los 6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Compila y pasa los 6 pasos; TON estándar instanciado y llamado una vez por ciclo con T#5S: idiomático.</t>
        </is>
      </c>
      <c r="J11" s="42" t="inlineStr">
        <is>
          <t>Lógica mínima y directa (salida = TON.Q): sin estados muertos, cierre inmediato garantizado por el reset del TON.</t>
        </is>
      </c>
      <c r="K11" s="42" t="inlineStr">
        <is>
          <t>Nombres descriptivos y comentarios que explican por qué la válvula cierra de inmediato (reset del TON).</t>
        </is>
      </c>
      <c r="L11" s="42" t="inlineStr">
        <is>
          <t>Sin duplicación; el tiempo está en un único punto, aunque T#5S va literal en la llamada y no como parámetro del FB.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B2-7015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Compila y pasa los 6 pasos; TON estándar instanciado y llamado una vez por ciclo con T#5S: idiomático.</t>
        </is>
      </c>
      <c r="J12" s="42" t="inlineStr">
        <is>
          <t>Lógica mínima y directa (salida = TON.Q): sin estados muertos, cierre inmediato garantizado por el reset del TON.</t>
        </is>
      </c>
      <c r="K12" s="42" t="inlineStr">
        <is>
          <t>Nombres descriptivos y comentario breve correcto; no explica el mecanismo de cierre inmediato.</t>
        </is>
      </c>
      <c r="L12" s="42" t="inlineStr">
        <is>
          <t>Sin duplicación; el tiempo está en un único punto, aunque T#5S va literal en la llamada y no como parámetro del FB.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B2-6278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Compila y pasa los 6 pasos; TON estándar instanciado y llamado una vez por ciclo con T#5S: idiomático.</t>
        </is>
      </c>
      <c r="J13" s="42" t="inlineStr">
        <is>
          <t>Lógica mínima y directa (salida = TON.Q): sin estados muertos, cierre inmediato garantizado por el reset del TON.</t>
        </is>
      </c>
      <c r="K13" s="42" t="inlineStr">
        <is>
          <t>Nombres descriptivos y comentarios que explican por qué la válvula cierra de inmediato (reset del TON).</t>
        </is>
      </c>
      <c r="L13" s="42" t="inlineStr">
        <is>
          <t>Sin duplicación; el tiempo está en un único punto, aunque T#5S va literal en la llamada y no como parámetro del FB.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B2-3727</t>
        </is>
      </c>
      <c r="B14" s="39" t="inlineStr">
        <is>
          <t>Compila. Falla 3 de 6 pasos del harness (pasos 1,2,4; numerados desde 0).</t>
        </is>
      </c>
      <c r="C14" s="41" t="n">
        <v>0</v>
      </c>
      <c r="D14" s="41" t="n">
        <v>2</v>
      </c>
      <c r="E14" s="41" t="n">
        <v>1</v>
      </c>
      <c r="F14" s="41" t="n">
        <v>1</v>
      </c>
      <c r="G14" s="41" t="n">
        <v>2</v>
      </c>
      <c r="H14" s="40">
        <f>IF(COUNT(C14:G14)=5,SUM(C14:G14),"")</f>
        <v/>
      </c>
      <c r="I14" s="42" t="inlineStr">
        <is>
          <t>Compila pero usa TP (pulso) en lugar de TON: abre al instante y cierra a los 5 s; falla el caso nominal (pasos 1, 2 y 4).</t>
        </is>
      </c>
      <c r="J14" s="42" t="inlineStr">
        <is>
          <t>Elección de temporizador contraria al requisito: la lógica abre sin esperar y cierra con nivel alto aún presente; IF final redundante.</t>
        </is>
      </c>
      <c r="K14" s="42" t="inlineStr">
        <is>
          <t>Estructura legible, pero los comentarios ('abre si el temporizador ha expirado') describen un comportamiento que TP no tiene.</t>
        </is>
      </c>
      <c r="L14" s="42" t="inlineStr">
        <is>
          <t>Tiempo en un único literal; cambios localizados pero T#5S no parametrizado.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B2-6755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y pasa los 6 pasos; TON estándar instanciado y llamado una vez por ciclo con T#5S: idiomático.</t>
        </is>
      </c>
      <c r="J15" s="42" t="inlineStr">
        <is>
          <t>Lógica mínima y directa (salida = TON.Q): sin estados muertos, cierre inmediato garantizado por el reset del TON.</t>
        </is>
      </c>
      <c r="K15" s="42" t="inlineStr">
        <is>
          <t>Nombres descriptivos y comentarios que explican por qué la válvula cierra de inmediato (reset del TON).</t>
        </is>
      </c>
      <c r="L15" s="42" t="inlineStr">
        <is>
          <t>Sin duplicación; el tiempo está en un único punto, aunque T#5S va literal en la llamada y no como parámetro del FB.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B2-7829</t>
        </is>
      </c>
      <c r="B16" s="39" t="inlineStr">
        <is>
          <t>Compila. Falla 3 de 6 pasos del harness (pasos 1,2,4; numerados desde 0).</t>
        </is>
      </c>
      <c r="C16" s="41" t="n">
        <v>0</v>
      </c>
      <c r="D16" s="41" t="n">
        <v>2</v>
      </c>
      <c r="E16" s="41" t="n">
        <v>1</v>
      </c>
      <c r="F16" s="41" t="n">
        <v>1</v>
      </c>
      <c r="G16" s="41" t="n">
        <v>2</v>
      </c>
      <c r="H16" s="40">
        <f>IF(COUNT(C16:G16)=5,SUM(C16:G16),"")</f>
        <v/>
      </c>
      <c r="I16" s="42" t="inlineStr">
        <is>
          <t>Compila pero usa TP (pulso) en lugar de TON: abre al instante y cierra a los 5 s; falla el caso nominal (pasos 1, 2 y 4).</t>
        </is>
      </c>
      <c r="J16" s="42" t="inlineStr">
        <is>
          <t>Elección de temporizador contraria al requisito: la lógica abre sin esperar y cierra con nivel alto aún presente; IF final redundante.</t>
        </is>
      </c>
      <c r="K16" s="42" t="inlineStr">
        <is>
          <t>Estructura legible, pero los comentarios ('abre si el temporizador ha expirado') describen un comportamiento que TP no tiene.</t>
        </is>
      </c>
      <c r="L16" s="42" t="inlineStr">
        <is>
          <t>Tiempo en un único literal; cambios localizados pero T#5S no parametrizado.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B2-7426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pasa los 6 pasos; TON estándar bien instanciado con T#5S.</t>
        </is>
      </c>
      <c r="J17" s="42" t="inlineStr">
        <is>
          <t>Correcta, aunque el IF/ELSE para copiar timer.Q es redundante.</t>
        </is>
      </c>
      <c r="K17" s="42" t="inlineStr">
        <is>
          <t>Nombres claros; el comentario 'Inicialización del temporizador' es impreciso.</t>
        </is>
      </c>
      <c r="L17" s="42" t="inlineStr">
        <is>
          <t>Sin duplicación; el tiempo está en un único punto, aunque T#5S va literal en la llamada y no como parámetro del FB.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B2-8183</t>
        </is>
      </c>
      <c r="B18" s="39" t="inlineStr">
        <is>
          <t>Compila. Pasa los 6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Compila y pasa los 6 pasos; TON estándar instanciado y llamado una vez por ciclo con T#5S: idiomático.</t>
        </is>
      </c>
      <c r="J18" s="42" t="inlineStr">
        <is>
          <t>Lógica mínima y directa (salida = TON.Q): sin estados muertos, cierre inmediato garantizado por el reset del TON.</t>
        </is>
      </c>
      <c r="K18" s="42" t="inlineStr">
        <is>
          <t>Nombres descriptivos y comentario breve correcto; no explica el mecanismo de cierre inmediato.</t>
        </is>
      </c>
      <c r="L18" s="42" t="inlineStr">
        <is>
          <t>Sin duplicación; el tiempo está en un único punto, aunque T#5S va literal en la llamada y no como parámetro del FB.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B2-4395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Compila y pasa los 6 pasos; TON estándar bien instanciado con T#5S.</t>
        </is>
      </c>
      <c r="J19" s="42" t="inlineStr">
        <is>
          <t>Correcta, aunque el IF/ELSE para copiar timer.Q es redundante.</t>
        </is>
      </c>
      <c r="K19" s="42" t="inlineStr">
        <is>
          <t>Nombre genérico 'timer' y comentario 'Inicialización' impreciso; resto de comentarios útiles.</t>
        </is>
      </c>
      <c r="L19" s="42" t="inlineStr">
        <is>
          <t>Sin duplicación; el tiempo está en un único punto, aunque T#5S va literal en la llamada y no como parámetro del FB.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B2-4528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Compila y pasa los 6 pasos; TON estándar instanciado y llamado una vez por ciclo con T#5S: idiomático.</t>
        </is>
      </c>
      <c r="J20" s="42" t="inlineStr">
        <is>
          <t>Lógica mínima y directa (salida = TON.Q): sin estados muertos, cierre inmediato garantizado por el reset del TON.</t>
        </is>
      </c>
      <c r="K20" s="42" t="inlineStr">
        <is>
          <t>Nombres descriptivos y comentarios que explican por qué la válvula cierra de inmediato (reset del TON).</t>
        </is>
      </c>
      <c r="L20" s="42" t="inlineStr">
        <is>
          <t>Sin duplicación; el tiempo está en un único punto, aunque T#5S va literal en la llamada y no como parámetro del FB.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B2-8816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pasa los 6 pasos; TON estándar instanciado y llamado una vez por ciclo con T#5S: idiomático.</t>
        </is>
      </c>
      <c r="J21" s="42" t="inlineStr">
        <is>
          <t>Lógica mínima y directa (salida = TON.Q): sin estados muertos, cierre inmediato garantizado por el reset del TON.</t>
        </is>
      </c>
      <c r="K21" s="42" t="inlineStr">
        <is>
          <t>Nombres descriptivos y comentario breve correcto; no explica el mecanismo de cierre inmediato.</t>
        </is>
      </c>
      <c r="L21" s="42" t="inlineStr">
        <is>
          <t>Sin duplicación; el tiempo está en un único punto, aunque T#5S va literal en la llamada y no como parámetro del FB.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B2-9944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Compila y pasa los 6 pasos; TON estándar instanciado y llamado una vez por ciclo con T#5S: idiomático.</t>
        </is>
      </c>
      <c r="J22" s="42" t="inlineStr">
        <is>
          <t>Lógica mínima y directa (salida = TON.Q): sin estados muertos, cierre inmediato garantizado por el reset del TON.</t>
        </is>
      </c>
      <c r="K22" s="42" t="inlineStr">
        <is>
          <t>Nombres descriptivos y comentarios que explican por qué la válvula cierra de inmediato (reset del TON).</t>
        </is>
      </c>
      <c r="L22" s="42" t="inlineStr">
        <is>
          <t>Sin duplicación; el tiempo está en un único punto, aunque T#5S va literal en la llamada y no como parámetro del FB.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B2-6018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y pasa los 6 pasos; TON estándar instanciado y llamado una vez por ciclo con T#5S: idiomático.</t>
        </is>
      </c>
      <c r="J23" s="42" t="inlineStr">
        <is>
          <t>Lógica mínima y directa (salida = TON.Q): sin estados muertos, cierre inmediato garantizado por el reset del TON.</t>
        </is>
      </c>
      <c r="K23" s="42" t="inlineStr">
        <is>
          <t>Nombres descriptivos y comentarios que explican por qué la válvula cierra de inmediato (reset del TON).</t>
        </is>
      </c>
      <c r="L23" s="42" t="inlineStr">
        <is>
          <t>Sin duplicación; el tiempo está en un único punto, aunque T#5S va literal en la llamada y no como parámetro del FB.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B2-4891</t>
        </is>
      </c>
      <c r="B24" s="39" t="inlineStr">
        <is>
          <t>Compila sola, pero no se pudo simular: declara las entradas donde el harness no puede escribirlas ('nivelAlto' no es ninguna entrada de 'FB_VALVULA').</t>
        </is>
      </c>
      <c r="C24" s="41" t="n">
        <v>1</v>
      </c>
      <c r="D24" s="41" t="n">
        <v>1</v>
      </c>
      <c r="E24" s="41" t="n">
        <v>2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No simulable: entradas y salidas declaradas en VAR, el FB no puede recibir nivelAlto ni entregar valvula; la temporización interna sería correcta. IEC 1: requiere corregir la interfaz.</t>
        </is>
      </c>
      <c r="J24" s="42" t="inlineStr">
        <is>
          <t>Lógica de temporización correcta con IF/ELSE redundante; sin contradicciones internas.</t>
        </is>
      </c>
      <c r="K24" s="42" t="inlineStr">
        <is>
          <t>Comentarios marcan 'Entrada'/'Salida' en variables locales: no hay separación de E/S en la interfaz.</t>
        </is>
      </c>
      <c r="L24" s="42" t="inlineStr">
        <is>
          <t>Sin interfaz utilizable ni parámetros; reutilizar el FB obliga a reescribir sus declaraciones.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B2-3672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Compila y pasa los 6 pasos; TON estándar instanciado y llamado una vez por ciclo con T#5S: idiomático.</t>
        </is>
      </c>
      <c r="J25" s="42" t="inlineStr">
        <is>
          <t>Lógica mínima y directa (salida = TON.Q): sin estados muertos, cierre inmediato garantizado por el reset del TON.</t>
        </is>
      </c>
      <c r="K25" s="42" t="inlineStr">
        <is>
          <t>Nombres descriptivos y comentario breve correcto; no explica el mecanismo de cierre inmediato.</t>
        </is>
      </c>
      <c r="L25" s="42" t="inlineStr">
        <is>
          <t>Sin duplicación; el tiempo está en un único punto, aunque T#5S va literal en la llamada y no como parámetro del FB.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B2-5243</t>
        </is>
      </c>
      <c r="B26" s="39" t="inlineStr">
        <is>
          <t>Compila. Falla 1 de 6 pasos del harness (pasos 1;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Compila pero el TON se llama sin PT (PT = 0): abre al instante sin el retardo de 5 s; falla el requisito nominal (paso 1).</t>
        </is>
      </c>
      <c r="J26" s="42" t="inlineStr">
        <is>
          <t>PT del TON nunca se asigna (valor por defecto con efecto) y las llamadas al TON están duplicadas.</t>
        </is>
      </c>
      <c r="K26" s="42" t="inlineStr">
        <is>
          <t>Comentario 'Timer de 5 segundos' falso y 'Inicialización del timer' incorrecto; nombres genéricos.</t>
        </is>
      </c>
      <c r="L26" s="42" t="inlineStr">
        <is>
          <t>El tiempo exigido no aparece en el código; lógica duplicada en dos bloques.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B2-6383</t>
        </is>
      </c>
      <c r="B27" s="39" t="inlineStr">
        <is>
          <t>Compila. Pasa los 6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Compila y pasa los 6 pasos; TON estándar instanciado y llamado una vez por ciclo con T#5S: idiomático.</t>
        </is>
      </c>
      <c r="J27" s="42" t="inlineStr">
        <is>
          <t>Lógica mínima y directa (salida = TON.Q): sin estados muertos, cierre inmediato garantizado por el reset del TON.</t>
        </is>
      </c>
      <c r="K27" s="42" t="inlineStr">
        <is>
          <t>Nombres descriptivos y comentarios que explican por qué la válvula cierra de inmediato (reset del TON).</t>
        </is>
      </c>
      <c r="L27" s="42" t="inlineStr">
        <is>
          <t>Sin duplicación; el tiempo está en un único punto, aunque T#5S va literal en la llamada y no como parámetro del FB.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B2-2583</t>
        </is>
      </c>
      <c r="B28" s="39" t="inlineStr">
        <is>
          <t>Compila. Falla 3 de 6 pasos del harness (pasos 1,2,4; numerados desde 0).</t>
        </is>
      </c>
      <c r="C28" s="41" t="n">
        <v>0</v>
      </c>
      <c r="D28" s="41" t="n">
        <v>2</v>
      </c>
      <c r="E28" s="41" t="n">
        <v>1</v>
      </c>
      <c r="F28" s="41" t="n">
        <v>1</v>
      </c>
      <c r="G28" s="41" t="n">
        <v>2</v>
      </c>
      <c r="H28" s="40">
        <f>IF(COUNT(C28:G28)=5,SUM(C28:G28),"")</f>
        <v/>
      </c>
      <c r="I28" s="42" t="inlineStr">
        <is>
          <t>Compila pero usa TP (pulso) en lugar de TON: abre al instante y cierra a los 5 s; falla el caso nominal (pasos 1, 2 y 4).</t>
        </is>
      </c>
      <c r="J28" s="42" t="inlineStr">
        <is>
          <t>Elección de temporizador contraria al requisito: la lógica abre sin esperar y cierra con nivel alto aún presente; IF final redundante.</t>
        </is>
      </c>
      <c r="K28" s="42" t="inlineStr">
        <is>
          <t>Estructura legible, pero los comentarios ('abre si el temporizador ha expirado') describen un comportamiento que TP no tiene.</t>
        </is>
      </c>
      <c r="L28" s="42" t="inlineStr">
        <is>
          <t>Tiempo en un único literal; cambios localizados pero T#5S no parametrizado.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B2-2211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y pasa los 6 pasos; TON estándar instanciado y llamado una vez por ciclo con T#5S: idiomático.</t>
        </is>
      </c>
      <c r="J29" s="42" t="inlineStr">
        <is>
          <t>Lógica mínima y directa (salida = TON.Q): sin estados muertos, cierre inmediato garantizado por el reset del TON.</t>
        </is>
      </c>
      <c r="K29" s="42" t="inlineStr">
        <is>
          <t>Nombres descriptivos y comentarios que explican por qué la válvula cierra de inmediato (reset del TON).</t>
        </is>
      </c>
      <c r="L29" s="42" t="inlineStr">
        <is>
          <t>Sin duplicación; el tiempo está en un único punto, aunque T#5S va literal en la llamada y no como parámetro del FB.</t>
        </is>
      </c>
      <c r="M29" s="42" t="n"/>
      <c r="N29" s="40">
        <f>IF(COUNT(C29:G29)=5,"Completa","Falta")</f>
        <v/>
      </c>
    </row>
    <row r="30"/>
  </sheetData>
  <dataValidations count="3">
    <dataValidation sqref="C14 C16 C24 C2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B3 — Contador de piezas con preset (Basico)</t>
        </is>
      </c>
    </row>
    <row r="2" ht="15" customHeight="1" s="22">
      <c r="A2" s="33" t="inlineStr">
        <is>
          <t>Lee cada respuesta por su código en respuestas/Respuestas_B3.html.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B3-6721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y pasa los 7 pasos; usa CTU pero con el pin RESET propio de CODESYS (IEC define R) y CV WORD asignado a INT implícitamente.</t>
        </is>
      </c>
      <c r="J6" s="42" t="inlineStr">
        <is>
          <t>CTU con reset y preset: lógica mínima y consistente, sin estados muertos.</t>
        </is>
      </c>
      <c r="K6" s="42" t="inlineStr">
        <is>
          <t>Nombres descriptivos y comentarios útiles, aunque descriptivos del qué más que del porqué.</t>
        </is>
      </c>
      <c r="L6" s="42" t="inlineStr">
        <is>
          <t>Preset 12 literal en la llamada al CTU; cambio localizado.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B3-4690</t>
        </is>
      </c>
      <c r="B7" s="39" t="inlineStr">
        <is>
          <t>Compila. Falla 5 de 7 pasos del harness (pasos 1,2,3,4,5;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Compila pero sensorAnterior se iguala al sensor antes de comparar: nunca detecta flanco ni cuenta; falla el caso nominal.</t>
        </is>
      </c>
      <c r="J7" s="42" t="inlineStr">
        <is>
          <t>La condición de flanco es siempre falsa porque sensorAnterior se sobrescribe antes de usarse: condición contradictoria con efecto.</t>
        </is>
      </c>
      <c r="K7" s="42" t="inlineStr">
        <is>
          <t>Comentario 'Inicialización del sensorAnterior' describe justo el error; IF redundante para copiar un BOOL.</t>
        </is>
      </c>
      <c r="L7" s="42" t="inlineStr">
        <is>
          <t>Código redundante (IF que copia el sensor) y preset literal; corregir requiere reordenar la lógica.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B3-5495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Compila y pasa los 7 pasos; usa R_TRIG estándar bien instanciado e INT para la cuenta: idiomático.</t>
        </is>
      </c>
      <c r="J8" s="42" t="inlineStr">
        <is>
          <t>Reset prioritario, flanco correcto y salida de lote coherente con la cuenta; sin estados muertos.</t>
        </is>
      </c>
      <c r="K8" s="42" t="inlineStr">
        <is>
          <t>Nombres claros y comentarios que explican por qué loteListo se desactiva solo al reiniciar la cuenta.</t>
        </is>
      </c>
      <c r="L8" s="42" t="inlineStr">
        <is>
          <t>Preset 12 como literal en un único punto; cambios localizados pero no parametrizado.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B3-6597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Compila y pasa los 7 pasos; usa R_TRIG estándar bien instanciado e INT para la cuenta: idiomático.</t>
        </is>
      </c>
      <c r="J9" s="42" t="inlineStr">
        <is>
          <t>Reset prioritario, flanco correcto y salida de lote coherente con la cuenta; sin estados muertos.</t>
        </is>
      </c>
      <c r="K9" s="42" t="inlineStr">
        <is>
          <t>Nombres descriptivos y comentarios útiles, aunque descriptivos del qué más que del porqué.</t>
        </is>
      </c>
      <c r="L9" s="42" t="inlineStr">
        <is>
          <t>Preset 12 como literal en un único punto; cambios localizados pero no parametrizado.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B3-8516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Compila y pasa los 7 pasos; declaraciones y tipos correctos, flanco detectado manualmente en lugar de R_TRIG.</t>
        </is>
      </c>
      <c r="J10" s="42" t="inlineStr">
        <is>
          <t>Reset prioritario, flanco correcto y salida de lote coherente con la cuenta; sin estados muertos.</t>
        </is>
      </c>
      <c r="K10" s="42" t="inlineStr">
        <is>
          <t>Secciones numeradas, nombres descriptivos y comentarios que justifican la prioridad del reset.</t>
        </is>
      </c>
      <c r="L10" s="42" t="inlineStr">
        <is>
          <t>Preset 12 como literal en un único punto; cambios localizados pero no parametrizado.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B3-4736</t>
        </is>
      </c>
      <c r="B11" s="39" t="inlineStr">
        <is>
          <t>Compila. Falla 5 de 7 pasos del harness (pasos 1,2,3,4,5;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 pero sensorAnterior := sensorPieza se ejecuta antes de la comparación: nunca cuenta; falla el caso nominal.</t>
        </is>
      </c>
      <c r="J11" s="42" t="inlineStr">
        <is>
          <t>Detección de flanco anulada por el orden de las asignaciones: condición siempre falsa.</t>
        </is>
      </c>
      <c r="K11" s="42" t="inlineStr">
        <is>
          <t>Nombres y comentarios claros, aunque la estructura induce el error de orden.</t>
        </is>
      </c>
      <c r="L11" s="42" t="inlineStr">
        <is>
          <t>Preset 12 como literal en un único punto; cambios localizados pero no parametrizado.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B3-6421</t>
        </is>
      </c>
      <c r="B12" s="39" t="inlineStr">
        <is>
          <t>Compila. Pasa los 7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Compila y pasa los 7 pasos; declaraciones y tipos correctos, flanco detectado manualmente en lugar de R_TRIG.</t>
        </is>
      </c>
      <c r="J12" s="42" t="inlineStr">
        <is>
          <t>Reset prioritario, flanco correcto y salida de lote coherente con la cuenta; sin estados muertos.</t>
        </is>
      </c>
      <c r="K12" s="42" t="inlineStr">
        <is>
          <t>Nombres claros; comentario 'Inicialización de variables' no corresponde a la lógica que encabeza.</t>
        </is>
      </c>
      <c r="L12" s="42" t="inlineStr">
        <is>
          <t>Preset 12 como literal en un único punto; cambios localizados pero no parametrizado.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B3-8845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Compila y pasa los 7 pasos; declaraciones y tipos correctos, flanco detectado manualmente en lugar de R_TRIG.</t>
        </is>
      </c>
      <c r="J13" s="42" t="inlineStr">
        <is>
          <t>Correcta; loteListo se pone a FALSE en el reset y se recalcula de inmediato (redundancia sin efecto grave).</t>
        </is>
      </c>
      <c r="K13" s="42" t="inlineStr">
        <is>
          <t>Nombres claros; comentario 'Inicialización de variables' no corresponde a la lógica que encabeza.</t>
        </is>
      </c>
      <c r="L13" s="42" t="inlineStr">
        <is>
          <t>Preset 12 como literal en un único punto; cambios localizados pero no parametrizado.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B3-9202</t>
        </is>
      </c>
      <c r="B14" s="39" t="inlineStr">
        <is>
          <t>No compila (6 errores).</t>
        </is>
      </c>
      <c r="C14" s="40" t="n">
        <v>0</v>
      </c>
      <c r="D14" s="40" t="n">
        <v>0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39" t="inlineStr"/>
      <c r="J14" s="42" t="inlineStr">
        <is>
          <t>Uso directo de CTU con reset y preset: lógica consistente y sin estados muertos.</t>
        </is>
      </c>
      <c r="K14" s="42" t="inlineStr">
        <is>
          <t>Nombres descriptivos y comentarios útiles, aunque descriptivos del qué más que del porqué.</t>
        </is>
      </c>
      <c r="L14" s="42" t="inlineStr">
        <is>
          <t>Preset 12 literal en la llamada al CTU; cambio localizado.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B3-5228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y pasa los 7 pasos; usa R_TRIG estándar bien instanciado e INT para la cuenta: idiomático.</t>
        </is>
      </c>
      <c r="J15" s="42" t="inlineStr">
        <is>
          <t>Reset prioritario, flanco correcto y salida de lote coherente con la cuenta; sin estados muertos.</t>
        </is>
      </c>
      <c r="K15" s="42" t="inlineStr">
        <is>
          <t>Nombres claros y comentarios que explican por qué el lote se desactiva automáticamente.</t>
        </is>
      </c>
      <c r="L15" s="42" t="inlineStr">
        <is>
          <t>Preset 12 como literal en un único punto; cambios localizados pero no parametrizado.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B3-2786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Compila y pasa los 7 pasos; usa R_TRIG estándar bien instanciado e INT para la cuenta: idiomático.</t>
        </is>
      </c>
      <c r="J16" s="42" t="inlineStr">
        <is>
          <t>Reset prioritario y cuenta saturada en el lote: robusto, sin estados muertos ni desbordamiento.</t>
        </is>
      </c>
      <c r="K16" s="42" t="inlineStr">
        <is>
          <t>Nombres claros y comentarios que justifican la prioridad del reset y el bloqueo del conteo con lote completo.</t>
        </is>
      </c>
      <c r="L16" s="42" t="inlineStr">
        <is>
          <t>Preset 12 como literal en un único punto; cambios localizados pero no parametrizado.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B3-5689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pasa los 7 pasos; declaraciones y tipos correctos, flanco detectado manualmente en lugar de R_TRIG.</t>
        </is>
      </c>
      <c r="J17" s="42" t="inlineStr">
        <is>
          <t>Correcta, pero el reset no tiene prioridad estructural: en el mismo ciclo de reset puede contarse un flanco; asignaciones a loteListo redundantes.</t>
        </is>
      </c>
      <c r="K17" s="42" t="inlineStr">
        <is>
          <t>Nombres claros; comentario 'Inicialización de variables' no corresponde a la lógica que encabeza.</t>
        </is>
      </c>
      <c r="L17" s="42" t="inlineStr">
        <is>
          <t>Preset 12 como literal en un único punto; cambios localizados pero no parametrizado.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B3-3133</t>
        </is>
      </c>
      <c r="B18" s="39" t="inlineStr">
        <is>
          <t>Compila. Pasa los 7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Compila y pasa los 7 pasos; declaraciones y tipos correctos, flanco detectado manualmente en lugar de R_TRIG.</t>
        </is>
      </c>
      <c r="J18" s="42" t="inlineStr">
        <is>
          <t>Correcta, pero el reset no tiene prioridad estructural: en el mismo ciclo de reset puede contarse un flanco; asignaciones a loteListo redundantes.</t>
        </is>
      </c>
      <c r="K18" s="42" t="inlineStr">
        <is>
          <t>Nombres descriptivos y comentarios útiles, aunque descriptivos del qué más que del porqué.</t>
        </is>
      </c>
      <c r="L18" s="42" t="inlineStr">
        <is>
          <t>Preset 12 como literal en un único punto; cambios localizados pero no parametrizado.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B3-3078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Compila y pasa los 7 pasos; usa R_TRIG estándar bien instanciado e INT para la cuenta: idiomático.</t>
        </is>
      </c>
      <c r="J19" s="42" t="inlineStr">
        <is>
          <t>El reset se evalúa tras el conteo y domina; salida de lote consistente, sin estados muertos.</t>
        </is>
      </c>
      <c r="K19" s="42" t="inlineStr">
        <is>
          <t>Nombres descriptivos y comentarios útiles, aunque descriptivos del qué más que del porqué.</t>
        </is>
      </c>
      <c r="L19" s="42" t="inlineStr">
        <is>
          <t>Preset 12 como literal en un único punto; cambios localizados pero no parametrizado.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B3-8293</t>
        </is>
      </c>
      <c r="B20" s="39" t="inlineStr">
        <is>
          <t>Compila. Pasa los 7 pasos del harness.</t>
        </is>
      </c>
      <c r="C20" s="40" t="n">
        <v>3</v>
      </c>
      <c r="D20" s="41" t="n">
        <v>2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Compila y pasa los 7 pasos; declaraciones y tipos correctos, flanco detectado manualmente en lugar de R_TRIG.</t>
        </is>
      </c>
      <c r="J20" s="42" t="inlineStr">
        <is>
          <t>Correcta, pero el reset no tiene prioridad estructural: en el mismo ciclo de reset puede contarse un flanco; asignaciones a loteListo redundantes.</t>
        </is>
      </c>
      <c r="K20" s="42" t="inlineStr">
        <is>
          <t>Nombres claros; comentario 'Inicialización de variables' no corresponde a la lógica que encabeza. Mezcla nombres en inglés y español.</t>
        </is>
      </c>
      <c r="L20" s="42" t="inlineStr">
        <is>
          <t>Preset 12 como literal en un único punto; cambios localizados pero no parametrizado.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B3-2446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pasa los 7 pasos; declaraciones y tipos correctos, flanco detectado manualmente en lugar de R_TRIG.</t>
        </is>
      </c>
      <c r="J21" s="42" t="inlineStr">
        <is>
          <t>Reset prioritario, flanco correcto y salida de lote coherente con la cuenta; sin estados muertos.</t>
        </is>
      </c>
      <c r="K21" s="42" t="inlineStr">
        <is>
          <t>Nombres descriptivos y comentarios útiles, aunque descriptivos del qué más que del porqué.</t>
        </is>
      </c>
      <c r="L21" s="42" t="inlineStr">
        <is>
          <t>Preset 12 como literal en un único punto; cambios localizados pero no parametrizado.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B3-6547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3</v>
      </c>
      <c r="H22" s="40">
        <f>IF(COUNT(C22:G22)=5,SUM(C22:G22),"")</f>
        <v/>
      </c>
      <c r="I22" s="42" t="inlineStr">
        <is>
          <t>Compila y pasa los 7 pasos; VAR CONSTANT correcta, flanco detectado manualmente en lugar de R_TRIG.</t>
        </is>
      </c>
      <c r="J22" s="42" t="inlineStr">
        <is>
          <t>Reset prioritario y cuenta saturada en el lote: robusto, sin estados muertos ni desbordamiento.</t>
        </is>
      </c>
      <c r="K22" s="42" t="inlineStr">
        <is>
          <t>Secciones numeradas y comentarios que explican prioridad del reset y saturación del conteo.</t>
        </is>
      </c>
      <c r="L22" s="42" t="inlineStr">
        <is>
          <t>Tamaño de lote como constante declarada usada sin duplicación; ajustarlo es un cambio de una línea.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B3-3429</t>
        </is>
      </c>
      <c r="B23" s="39" t="inlineStr">
        <is>
          <t>Compila. Pasa los 7 pasos del harness.</t>
        </is>
      </c>
      <c r="C23" s="40" t="n">
        <v>3</v>
      </c>
      <c r="D23" s="41" t="n">
        <v>2</v>
      </c>
      <c r="E23" s="41" t="n">
        <v>2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Compila y pasa los 7 pasos; declaraciones y tipos correctos, flanco detectado manualmente en lugar de R_TRIG.</t>
        </is>
      </c>
      <c r="J23" s="42" t="inlineStr">
        <is>
          <t>Correcta; loteListo se pone a FALSE en el reset y se recalcula de inmediato (redundancia sin efecto grave).</t>
        </is>
      </c>
      <c r="K23" s="42" t="inlineStr">
        <is>
          <t>Nombres claros; el comentario 'Inicialización' encabeza la detección de flanco.</t>
        </is>
      </c>
      <c r="L23" s="42" t="inlineStr">
        <is>
          <t>Preset 12 como literal en un único punto; cambios localizados pero no parametrizado.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B3-6741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Compila y pasa los 7 pasos; VAR CONSTANT correcta, flanco detectado manualmente en lugar de R_TRIG.</t>
        </is>
      </c>
      <c r="J24" s="42" t="inlineStr">
        <is>
          <t>Reset prioritario y cuenta saturada en el lote: robusto, sin estados muertos ni desbordamiento.</t>
        </is>
      </c>
      <c r="K24" s="42" t="inlineStr">
        <is>
          <t>Secciones numeradas y comentarios que explican prioridad del reset y saturación del conteo.</t>
        </is>
      </c>
      <c r="L24" s="42" t="inlineStr">
        <is>
          <t>Límite de lote como constante declarada usada sin duplicación; cambio de una línea.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B3-3465</t>
        </is>
      </c>
      <c r="B25" s="39" t="inlineStr">
        <is>
          <t>Compila. Pasa los 7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Compila y pasa los 7 pasos; usa CTU pero con el pin RESET propio de CODESYS (IEC define R) y CV WORD asignado a INT implícitamente.</t>
        </is>
      </c>
      <c r="J25" s="42" t="inlineStr">
        <is>
          <t>CTU con reset y preset: lógica mínima y consistente, sin estados muertos.</t>
        </is>
      </c>
      <c r="K25" s="42" t="inlineStr">
        <is>
          <t>Nombres aceptables (cPiezas) y un único comentario general.</t>
        </is>
      </c>
      <c r="L25" s="42" t="inlineStr">
        <is>
          <t>Preset 12 literal en la llamada al CTU; cambio localizado.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B3-4741</t>
        </is>
      </c>
      <c r="B26" s="39" t="inlineStr">
        <is>
          <t>Compila. Pasa los 7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Compila y pasa los 7 pasos; declaraciones y tipos correctos, flanco detectado manualmente en lugar de R_TRIG.</t>
        </is>
      </c>
      <c r="J26" s="42" t="inlineStr">
        <is>
          <t>Reset prioritario, flanco correcto y salida de lote coherente con la cuenta; sin estados muertos.</t>
        </is>
      </c>
      <c r="K26" s="42" t="inlineStr">
        <is>
          <t>Nombres claros; comentario 'Inicialización de variables' no corresponde a la lógica que encabeza.</t>
        </is>
      </c>
      <c r="L26" s="42" t="inlineStr">
        <is>
          <t>Preset 12 como literal en un único punto; cambios localizados pero no parametrizado.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B3-1730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Compila y pasa los 7 pasos; declaraciones y tipos correctos, flanco detectado manualmente en lugar de R_TRIG.</t>
        </is>
      </c>
      <c r="J27" s="42" t="inlineStr">
        <is>
          <t>Reset prioritario, flanco correcto y salida de lote coherente con la cuenta; sin estados muertos.</t>
        </is>
      </c>
      <c r="K27" s="42" t="inlineStr">
        <is>
          <t>Nombres claros; comentario 'Inicialización de variables' no corresponde a la lógica que encabeza.</t>
        </is>
      </c>
      <c r="L27" s="42" t="inlineStr">
        <is>
          <t>Preset 12 como literal en un único punto; cambios localizados pero no parametrizado.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B3-6937</t>
        </is>
      </c>
      <c r="B28" s="39" t="inlineStr">
        <is>
          <t>Compila. Falla 3 de 7 pasos del harness (pasos 3,4,5;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Compila pero reinicia cuenta y el flanco previo en cada ciclo: la cuenta nunca acumula; falla el caso nominal (pasos 3 a 5).</t>
        </is>
      </c>
      <c r="J28" s="42" t="inlineStr">
        <is>
          <t>La 'inicialización' incondicional en cada scan borra el estado del FB: contradice la función de contador.</t>
        </is>
      </c>
      <c r="K28" s="42" t="inlineStr">
        <is>
          <t>Comentario 'Inicialización de variables' presenta como inicialización lo que es un borrado cíclico; estructura engañosa.</t>
        </is>
      </c>
      <c r="L28" s="42" t="inlineStr">
        <is>
          <t>Lógica de estado destruida por asignaciones cíclicas; corregir exige rediseñar el bloque.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B3-2730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y pasa los 7 pasos; usa R_TRIG estándar bien instanciado e INT para la cuenta: idiomático.</t>
        </is>
      </c>
      <c r="J29" s="42" t="inlineStr">
        <is>
          <t>Reset prioritario y cuenta saturada en el lote: robusto, sin estados muertos ni desbordamiento.</t>
        </is>
      </c>
      <c r="K29" s="42" t="inlineStr">
        <is>
          <t>Nombres claros y comentarios que justifican la prioridad del reset y el bloqueo del conteo con lote completo.</t>
        </is>
      </c>
      <c r="L29" s="42" t="inlineStr">
        <is>
          <t>Preset 12 como literal en un único punto; cambios localizados pero no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7 C11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3 D15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B4 — Inversión de giro con enclavamiento cruzado (Basico)</t>
        </is>
      </c>
    </row>
    <row r="2" ht="15" customHeight="1" s="22">
      <c r="A2" s="33" t="inlineStr">
        <is>
          <t>Lee cada respuesta por su código en respuestas/Respuestas_B4.html.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B4-8136</t>
        </is>
      </c>
      <c r="B6" s="39" t="inlineStr">
        <is>
          <t>Compila. Falla 4 de 10 pasos del harness (pasos 3,4,7,9;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Func 0: el estado 0 nunca desactiva fwd/rev, así que el paro no detiene el motor (pasos 4,7,9) y además permite invertir sin paro (paso 3). IEC 2: compila sin cambios con declaraciones correctas; máquina de estados con INT y códigos numéricos en lugar de ENUM/constantes.</t>
        </is>
      </c>
      <c r="J6" s="42" t="inlineStr">
        <is>
          <t>Las salidas solo se escriben en estados 1/2, por lo que el estado de paro es incoherente (salidas quedan activas) y existen transiciones directas 1&lt;-&gt;2 que anulan el interlock.</t>
        </is>
      </c>
      <c r="K6" s="42" t="inlineStr">
        <is>
          <t>Nombres claros y comentarios breves de estados y variables; estructura CASE ordenada.</t>
        </is>
      </c>
      <c r="L6" s="42" t="inlineStr">
        <is>
          <t>Estados codificados 0/1/2 documentados; cambios localizados en el CASE.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B4-1620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Pasa todo; IEC 3: compila sin cambios; FB adecuado con IF/ELSIF y estado BOOL idiomáticos.</t>
        </is>
      </c>
      <c r="J7" s="42" t="inlineStr">
        <is>
          <t>Paro prioritario, interlock por NOT rev/NOT fwd y ELSIF que resuelve entradas simultáneas; el bloque final fwd AND rev es redundante pero inocuo.</t>
        </is>
      </c>
      <c r="K7" s="42" t="inlineStr">
        <is>
          <t>Comentarios útiles por rama y nombres claros; sin explicación más profunda del diseño.</t>
        </is>
      </c>
      <c r="L7" s="42" t="inlineStr">
        <is>
          <t>Lógica compacta sin valores mágicos; cambios localizados.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B4-8880</t>
        </is>
      </c>
      <c r="B8" s="39" t="inlineStr">
        <is>
          <t>Compila. Pasa los 10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Pasa todo; IEC 2: compila sin cambios con declaraciones correctas; máquina de estados con INT y códigos numéricos en lugar de ENUM/constantes.</t>
        </is>
      </c>
      <c r="J8" s="42" t="inlineStr">
        <is>
          <t>Paro prioritario, arranque solo desde estado 0 y salidas derivadas del estado; entradas simultáneas resueltas a favor de fwd.</t>
        </is>
      </c>
      <c r="K8" s="42" t="inlineStr">
        <is>
          <t>Separa transición de estado y asignación de salidas, con comentarios útiles.</t>
        </is>
      </c>
      <c r="L8" s="42" t="inlineStr">
        <is>
          <t>Códigos de estado documentados; cambios localizados.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B4-9178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Pasa todo; IEC 3: compila sin cambios; FB adecuado con IF/ELSIF y estado BOOL idiomáticos.</t>
        </is>
      </c>
      <c r="J9" s="42" t="inlineStr">
        <is>
          <t>xRunning impide cualquier inversión sin paro, paro con prioridad y salidas siempre complementarias; robusto ante pulsaciones simultáneas.</t>
        </is>
      </c>
      <c r="K9" s="42" t="inlineStr">
        <is>
          <t>Cabecera que explica las reglas y secciones numeradas con comentarios del porqué del enclavamiento.</t>
        </is>
      </c>
      <c r="L9" s="42" t="inlineStr">
        <is>
          <t>Sin valores mágicos; lógica localizada y fácil de modificar.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B4-2076</t>
        </is>
      </c>
      <c r="B10" s="39" t="inlineStr">
        <is>
          <t>Compila. Pasa los 10 pasos del harness.</t>
        </is>
      </c>
      <c r="C10" s="40" t="n">
        <v>3</v>
      </c>
      <c r="D10" s="41" t="n">
        <v>2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Pasa todo; IEC 2: compila sin cambios con declaraciones correctas; máquina de estados con INT y códigos numéricos en lugar de ENUM/constantes.</t>
        </is>
      </c>
      <c r="J10" s="42" t="inlineStr">
        <is>
          <t>Coherente, pero en el estado 0 no se evalúa btnParo, de modo que con paro pulsado una orden de marcha arranca el motor; salidas con un scan de retardo.</t>
        </is>
      </c>
      <c r="K10" s="42" t="inlineStr">
        <is>
          <t>CASE ordenado con comentarios en cada transición.</t>
        </is>
      </c>
      <c r="L10" s="42" t="inlineStr">
        <is>
          <t>Códigos de estado documentados; cambios localizados.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B4-2916</t>
        </is>
      </c>
      <c r="B11" s="39" t="inlineStr">
        <is>
          <t>Compila. Pasa los 10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Pasa todo; IEC 3: compila sin cambios; FB adecuado con autorretención BOOL idiomática.</t>
        </is>
      </c>
      <c r="J11" s="42" t="inlineStr">
        <is>
          <t>Autorretención con paro prioritario y enclavamiento cruzado evaluado en orden, sin coexistencia ni carrera desde el reposo.</t>
        </is>
      </c>
      <c r="K11" s="42" t="inlineStr">
        <is>
          <t>Comentarios extensos pero describen el qué más que el porqué; nombres claros.</t>
        </is>
      </c>
      <c r="L11" s="42" t="inlineStr">
        <is>
          <t>Dos ecuaciones simples sin valores mágicos.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B4-1844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todo; IEC 3: compila sin cambios; FB adecuado con autorretención BOOL idiomática.</t>
        </is>
      </c>
      <c r="J12" s="42" t="inlineStr">
        <is>
          <t>Autorretención con paro prioritario y enclavamiento cruzado; sin carrera porque rev usa el fwd ya actualizado.</t>
        </is>
      </c>
      <c r="K12" s="42" t="inlineStr">
        <is>
          <t>Comentario breve y útil por ecuación; nombres claros.</t>
        </is>
      </c>
      <c r="L12" s="42" t="inlineStr">
        <is>
          <t>Dos ecuaciones simples sin valores mágicos.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B4-9939</t>
        </is>
      </c>
      <c r="B13" s="39" t="inlineStr">
        <is>
          <t>Compila. Falla 3 de 10 pasos del harness (pasos 2,3,6;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 0: estado := 0 en cada scan elimina la memoria, el motor no se enclava (paso 2) y la orden opuesta invierte sin paro (pasos 3,6). IEC 2: compila sin cambios con declaraciones correctas; máquina de estados con INT y códigos numéricos en lugar de ENUM/constantes.</t>
        </is>
      </c>
      <c r="J13" s="42" t="inlineStr">
        <is>
          <t>La reinicialización incondicional del estado anula la máquina de estados y las condiciones estado = 0 son siempre verdaderas.</t>
        </is>
      </c>
      <c r="K13" s="42" t="inlineStr">
        <is>
          <t>Bien comentado y separado en transición y salidas, aunque el comentario de inicialización enmascara el error.</t>
        </is>
      </c>
      <c r="L13" s="42" t="inlineStr">
        <is>
          <t>Códigos de estado documentados; cambios localizados.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B4-9793</t>
        </is>
      </c>
      <c r="B14" s="39" t="inlineStr">
        <is>
          <t>Compila. Falla 2 de 10 pasos del harness (pasos 3,6; numerados desde 0).</t>
        </is>
      </c>
      <c r="C14" s="41" t="n">
        <v>1</v>
      </c>
      <c r="D14" s="41" t="n">
        <v>2</v>
      </c>
      <c r="E14" s="41" t="n">
        <v>0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Func 1: el caso nominal funciona, pero la orden opuesta invierte directamente sin paro (pasos 3,6), violando el requisito central. IEC 2: compila sin cambios con declaraciones correctas; máquina de estados con INT y códigos numéricos en lugar de ENUM/constantes.</t>
        </is>
      </c>
      <c r="J14" s="42" t="inlineStr">
        <is>
          <t>Los bloques 'Estado 1/2' se ejecutan siempre sin consultar estado, sobrescriben al primero y la variable estado se escribe pero nunca se lee.</t>
        </is>
      </c>
      <c r="K14" s="42" t="inlineStr">
        <is>
          <t>Los comentarios rotulan como estados bloques que no lo son, lo que engaña al lector.</t>
        </is>
      </c>
      <c r="L14" s="42" t="inlineStr">
        <is>
          <t>Lógica de paro triplicada y variables redundantes (estado, parado); modificar exige tocar varios bloques.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B4-5174</t>
        </is>
      </c>
      <c r="B15" s="39" t="inlineStr">
        <is>
          <t>Compila. Falla 4 de 10 pasos del harness (pasos 3,4,7,9;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Func 0: el estado 0 no apaga las salidas, el paro no detiene el motor (pasos 4,7,9) y se permite inversión directa (paso 3). IEC 2: compila sin cambios con declaraciones correctas; máquina de estados con INT y códigos numéricos en lugar de ENUM/constantes.</t>
        </is>
      </c>
      <c r="J15" s="42" t="inlineStr">
        <is>
          <t>Estado de paro sin asignación de salidas y transiciones directas entre sentidos que anulan el interlock.</t>
        </is>
      </c>
      <c r="K15" s="42" t="inlineStr">
        <is>
          <t>Comentarios en cada estado y transición; nombres adecuados.</t>
        </is>
      </c>
      <c r="L15" s="42" t="inlineStr">
        <is>
          <t>Códigos de estado documentados;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B4-1107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todo; IEC 3: compila sin cambios; FB adecuado con IF/ELSIF y estado BOOL idiomáticos.</t>
        </is>
      </c>
      <c r="J16" s="42" t="inlineStr">
        <is>
          <t>Paro prioritario, interlock cruzado y ELSIF que resuelve simultaneidad; el chequeo final es redundante pero defensivo.</t>
        </is>
      </c>
      <c r="K16" s="42" t="inlineStr">
        <is>
          <t>Comentarios útiles por rama; el rótulo 'seguridad hardware' es impreciso.</t>
        </is>
      </c>
      <c r="L16" s="42" t="inlineStr">
        <is>
          <t>Lógica compacta sin valores mágicos; cambios localizados.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B4-2313</t>
        </is>
      </c>
      <c r="B17" s="39" t="inlineStr">
        <is>
          <t>Compila. Falla 2 de 10 pasos del harness (pasos 3,6; numerados desde 0).</t>
        </is>
      </c>
      <c r="C17" s="41" t="n">
        <v>1</v>
      </c>
      <c r="D17" s="41" t="n">
        <v>2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Func 1: nominal correcto pero las transiciones 1&lt;-&gt;2 permiten invertir sin paro (pasos 3,6). IEC 2: compila sin cambios con declaraciones correctas; máquina de estados con INT y códigos numéricos en lugar de ENUM/constantes.</t>
        </is>
      </c>
      <c r="J17" s="42" t="inlineStr">
        <is>
          <t>Máquina de estados internamente ordenada, pero incluye transiciones directas que anulan el interlock exigido.</t>
        </is>
      </c>
      <c r="K17" s="42" t="inlineStr">
        <is>
          <t>Separa transiciones y salidas con comentarios útiles.</t>
        </is>
      </c>
      <c r="L17" s="42" t="inlineStr">
        <is>
          <t>Códigos de estado documentados; cambios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B4-4978</t>
        </is>
      </c>
      <c r="B18" s="39" t="inlineStr">
        <is>
          <t>Compila. Pasa los 10 pasos del harness.</t>
        </is>
      </c>
      <c r="C18" s="40" t="n">
        <v>3</v>
      </c>
      <c r="D18" s="41" t="n">
        <v>2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Pasa todo; IEC 2: compila sin cambios con declaraciones correctas; máquina de estados con INT y códigos numéricos en lugar de ENUM/constantes.</t>
        </is>
      </c>
      <c r="J18" s="42" t="inlineStr">
        <is>
          <t>Paro prioritario, arranque solo desde reposo y salidas como funciones exclusivas del estado.</t>
        </is>
      </c>
      <c r="K18" s="42" t="inlineStr">
        <is>
          <t>Compacto, comentarios útiles y nombres claros.</t>
        </is>
      </c>
      <c r="L18" s="42" t="inlineStr">
        <is>
          <t>Códigos de estado documentados; salidas derivadas en un solo lugar.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B4-6326</t>
        </is>
      </c>
      <c r="B19" s="39" t="inlineStr">
        <is>
          <t>Compila. Pasa los 10 pasos del harness.</t>
        </is>
      </c>
      <c r="C19" s="40" t="n">
        <v>3</v>
      </c>
      <c r="D19" s="41" t="n">
        <v>2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Pasa todo; IEC 2: compila sin cambios con declaraciones correctas; máquina de estados con INT y códigos numéricos en lugar de ENUM/constantes.</t>
        </is>
      </c>
      <c r="J19" s="42" t="inlineStr">
        <is>
          <t>Paro prioritario, arranque solo desde reposo y salidas como funciones exclusivas del estado.</t>
        </is>
      </c>
      <c r="K19" s="42" t="inlineStr">
        <is>
          <t>Compacto, comentarios útiles y nombres claros.</t>
        </is>
      </c>
      <c r="L19" s="42" t="inlineStr">
        <is>
          <t>Códigos de estado documentados; salidas derivadas en un solo lugar.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B4-2461</t>
        </is>
      </c>
      <c r="B20" s="39" t="inlineStr">
        <is>
          <t>Compila. Pasa los 10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todo; IEC 3: compila sin cambios; FB adecuado con autorretención BOOL idiomática.</t>
        </is>
      </c>
      <c r="J20" s="42" t="inlineStr">
        <is>
          <t>Autorretención con paro prioritario y enclavamiento cruzado sin carrera.</t>
        </is>
      </c>
      <c r="K20" s="42" t="inlineStr">
        <is>
          <t>Comentario breve y útil por ecuación; nombres claros.</t>
        </is>
      </c>
      <c r="L20" s="42" t="inlineStr">
        <is>
          <t>Dos ecuaciones simples sin valores mágicos.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B4-9948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Pasa todo; IEC 3: compila sin cambios; FB adecuado con autorretención BOOL idiomática.</t>
        </is>
      </c>
      <c r="J21" s="42" t="inlineStr">
        <is>
          <t>Autorretención con paro prioritario y enclavamiento cruzado sin carrera.</t>
        </is>
      </c>
      <c r="K21" s="42" t="inlineStr">
        <is>
          <t>Comentario breve y útil por ecuación; nombres claros.</t>
        </is>
      </c>
      <c r="L21" s="42" t="inlineStr">
        <is>
          <t>Dos ecuaciones simples sin valores mágicos.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B4-7421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Pasa todo; IEC 3: compila sin cambios; FB adecuado con autorretención BOOL idiomática.</t>
        </is>
      </c>
      <c r="J22" s="42" t="inlineStr">
        <is>
          <t>Autorretención con paro prioritario y enclavamiento cruzado sin carrera.</t>
        </is>
      </c>
      <c r="K22" s="42" t="inlineStr">
        <is>
          <t>Cabecera que explica por qué el enclavamiento impide la coexistencia y obliga a pasar por paro.</t>
        </is>
      </c>
      <c r="L22" s="42" t="inlineStr">
        <is>
          <t>Dos ecuaciones simples sin valores mágicos.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B4-1969</t>
        </is>
      </c>
      <c r="B23" s="39" t="inlineStr">
        <is>
          <t>Compila. Pasa los 10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Pasa todo; IEC 2: compila sin cambios con declaraciones correctas; máquina de estados con INT y códigos numéricos en lugar de ENUM/constantes.</t>
        </is>
      </c>
      <c r="J23" s="42" t="inlineStr">
        <is>
          <t>Paro prioritario, arranque solo desde reposo y salidas como funciones exclusivas del estado.</t>
        </is>
      </c>
      <c r="K23" s="42" t="inlineStr">
        <is>
          <t>Compacto, comentarios útiles y nombres claros.</t>
        </is>
      </c>
      <c r="L23" s="42" t="inlineStr">
        <is>
          <t>Códigos de estado documentados; salidas derivadas en un solo lugar.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B4-9599</t>
        </is>
      </c>
      <c r="B24" s="39" t="inlineStr">
        <is>
          <t>Compila. Pasa los 10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Pasa todo; IEC 3: compila sin cambios; FB adecuado con IF/ELSIF y estado BOOL idiomáticos.</t>
        </is>
      </c>
      <c r="J24" s="42" t="inlineStr">
        <is>
          <t>xRunning bloquea inversión sin paro, paro prioritario y doble interlock defensivo; robusto ante simultaneidad.</t>
        </is>
      </c>
      <c r="K24" s="42" t="inlineStr">
        <is>
          <t>Cabecera con reglas de operación y secciones numeradas que explican el porqué.</t>
        </is>
      </c>
      <c r="L24" s="42" t="inlineStr">
        <is>
          <t>Sin valores mágicos; lógica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B4-3739</t>
        </is>
      </c>
      <c r="B25" s="39" t="inlineStr">
        <is>
          <t>Compila. Falla 1 de 10 pasos del harness (pasos 3; numerados desde 0).</t>
        </is>
      </c>
      <c r="C25" s="41" t="n">
        <v>1</v>
      </c>
      <c r="D25" s="41" t="n">
        <v>2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 1: nominal correcto pero la transición 1-&gt;2 con btnRev invierte sin pasar por paro (paso 3). IEC 2: compila sin cambios con declaraciones correctas; máquina de estados con INT y códigos numéricos en lugar de ENUM/constantes.</t>
        </is>
      </c>
      <c r="J25" s="42" t="inlineStr">
        <is>
          <t>CASE ordenado, pero las transiciones directas entre sentidos contradicen el interlock exigido y las salidas van un scan retrasadas.</t>
        </is>
      </c>
      <c r="K25" s="42" t="inlineStr">
        <is>
          <t>CASE ordenado con comentarios en cada transición.</t>
        </is>
      </c>
      <c r="L25" s="42" t="inlineStr">
        <is>
          <t>Códigos de estado documentados; cambios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B4-1794</t>
        </is>
      </c>
      <c r="B26" s="39" t="inlineStr">
        <is>
          <t>Compila. Pasa los 10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IEC 3: compila sin cambios; FB adecuado con IF/ELSIF y estado BOOL idiomáticos.</t>
        </is>
      </c>
      <c r="J26" s="42" t="inlineStr">
        <is>
          <t>Estados BOOL internos con paro prioritario, interlock cruzado y salidas mutuamente excluyentes.</t>
        </is>
      </c>
      <c r="K26" s="42" t="inlineStr">
        <is>
          <t>Separa estado interno y asignación de salidas con comentarios útiles; rótulo 'garantía hardware' impreciso.</t>
        </is>
      </c>
      <c r="L26" s="42" t="inlineStr">
        <is>
          <t>Sin valores mágicos; cambios localizados.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B4-9025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Pasa todo; IEC 3: compila sin cambios; FB adecuado con IF/ELSIF y estado BOOL idiomáticos.</t>
        </is>
      </c>
      <c r="J27" s="42" t="inlineStr">
        <is>
          <t>xRunning bloquea inversión sin paro, paro prioritario y doble interlock defensivo; robusto ante simultaneidad.</t>
        </is>
      </c>
      <c r="K27" s="42" t="inlineStr">
        <is>
          <t>Cabecera explicativa, secciones numeradas y comentarios que justifican el doble seguro.</t>
        </is>
      </c>
      <c r="L27" s="42" t="inlineStr">
        <is>
          <t>Sin valores mágicos; lógica localizada.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B4-7211</t>
        </is>
      </c>
      <c r="B28" s="39" t="inlineStr">
        <is>
          <t>Compila. Falla 2 de 10 pasos del harness (pasos 3,6; numerados desde 0).</t>
        </is>
      </c>
      <c r="C28" s="41" t="n">
        <v>1</v>
      </c>
      <c r="D28" s="41" t="n">
        <v>3</v>
      </c>
      <c r="E28" s="41" t="n">
        <v>1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 1: nominal correcto, pero con fwd activo btnRev apaga fwd y en el mismo scan arranca rev (inversión directa, paso 3), y en el paso 6 detiene el motor. IEC 3: compila sin cambios; FB adecuado con autorretención BOOL idiomática.</t>
        </is>
      </c>
      <c r="J28" s="42" t="inlineStr">
        <is>
          <t>El término NOT btnRev combinado con la evaluación secuencial permite invertir sin paro, contradiciendo el propio comentario.</t>
        </is>
      </c>
      <c r="K28" s="42" t="inlineStr">
        <is>
          <t>Cabecera que justifica cada término, aunque afirma incorrectamente que obliga a pasar por paro.</t>
        </is>
      </c>
      <c r="L28" s="42" t="inlineStr">
        <is>
          <t>Dos ecuaciones simples sin valores mágicos.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B4-5930</t>
        </is>
      </c>
      <c r="B29" s="39" t="inlineStr">
        <is>
          <t>Compila. Pasa los 10 pasos del harness.</t>
        </is>
      </c>
      <c r="C29" s="40" t="n">
        <v>3</v>
      </c>
      <c r="D29" s="41" t="n">
        <v>2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Pasa todo; IEC 2: compila sin cambios con declaraciones correctas; máquina de estados con INT y códigos numéricos en lugar de ENUM/constantes.</t>
        </is>
      </c>
      <c r="J29" s="42" t="inlineStr">
        <is>
          <t>Paro prioritario, arranque solo desde reposo y salidas derivadas del estado; la puesta a FALSE previa es redundante pero inocua.</t>
        </is>
      </c>
      <c r="K29" s="42" t="inlineStr">
        <is>
          <t>Separa transición de estado y asignación de salidas, con comentarios útiles.</t>
        </is>
      </c>
      <c r="L29" s="42" t="inlineStr">
        <is>
          <t>Códigos de estado documentados; cambios localizados.</t>
        </is>
      </c>
      <c r="M29" s="42" t="n"/>
      <c r="N29" s="40">
        <f>IF(COUNT(C29:G29)=5,"Completa","Falta")</f>
        <v/>
      </c>
    </row>
    <row r="30"/>
  </sheetData>
  <dataValidations count="3">
    <dataValidation sqref="C6 C13:C15 C17 C25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B5 — Ventilador con retardo a la desconexión (Basico)</t>
        </is>
      </c>
    </row>
    <row r="2" ht="15" customHeight="1" s="22">
      <c r="A2" s="33" t="inlineStr">
        <is>
          <t>Lee cada respuesta por su código en respuestas/Respuestas_B5.html.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B5-9290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Pasa todo; IEC 3: compila sin cambios y usa el TOF estándar bien instanciado con T#30S.</t>
        </is>
      </c>
      <c r="J6" s="42" t="inlineStr">
        <is>
          <t>Un TOF resuelve directamente retardo y rearme; sin estados ni condiciones redundantes.</t>
        </is>
      </c>
      <c r="K6" s="42" t="inlineStr">
        <is>
          <t>Nombres descriptivos y comentario útil del propósito del temporizador.</t>
        </is>
      </c>
      <c r="L6" s="42" t="inlineStr">
        <is>
          <t>Lógica mínima sin duplicación; el tiempo es literal en la llamada pero en un solo lugar.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B5-7090</t>
        </is>
      </c>
      <c r="B7" s="39" t="inlineStr">
        <is>
          <t>Compila. Falla 1 de 9 pasos del harness (pasos 0; numerados desde 0).</t>
        </is>
      </c>
      <c r="C7" s="41" t="n">
        <v>2</v>
      </c>
      <c r="D7" s="41" t="n">
        <v>2</v>
      </c>
      <c r="E7" s="41" t="n">
        <v>1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7" s="42" t="inlineStr">
        <is>
          <t>Lógica correcta salvo el estado inicial: el TON sin vencer al arranque activa el ventilador sin causa.</t>
        </is>
      </c>
      <c r="K7" s="42" t="inlineStr">
        <is>
          <t>Nombres y comentarios claros que explican la condición de marcha.</t>
        </is>
      </c>
      <c r="L7" s="42" t="inlineStr">
        <is>
          <t>Lógica mínima; el tiempo es literal en un solo lugar.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B5-4470</t>
        </is>
      </c>
      <c r="B8" s="39" t="inlineStr">
        <is>
          <t>Compila sola, pero no se pudo simular: declara las entradas donde el harness no puede escribirlas ('quemadorOn' no es ninguna entrada de 'FB_VENTILADOR').</t>
        </is>
      </c>
      <c r="C8" s="41" t="n">
        <v>0</v>
      </c>
      <c r="D8" s="41" t="n">
        <v>1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Func 0: el TON se llama con IN := FALSE al inicio de cada scan, por lo que nunca vence y el ventilador no se detiene; además, la entrada y la salida están en VAR y el FB no se puede usar. IEC 1: compila, pero requiere corregir la declaración de la interfaz (VAR_INPUT/VAR_OUTPUT).</t>
        </is>
      </c>
      <c r="J8" s="42" t="inlineStr">
        <is>
          <t>El reinicio incondicional del temporizador en cada scan contradice la rama que lo arranca; el post-enfriamiento nunca termina.</t>
        </is>
      </c>
      <c r="K8" s="42" t="inlineStr">
        <is>
          <t>Comentarios abundantes, pero rotulan como entrada/salida variables internas, sin separación de E/S.</t>
        </is>
      </c>
      <c r="L8" s="42" t="inlineStr">
        <is>
          <t>Tres llamadas a la misma instancia y una interfaz mal declarada obligan a reescribir.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B5-6632</t>
        </is>
      </c>
      <c r="B9" s="39" t="inlineStr">
        <is>
          <t>Compila. Falla 5 de 9 pasos del harness (pasos 2,3,5,7,8; numerados desde 0).</t>
        </is>
      </c>
      <c r="C9" s="41" t="n">
        <v>0</v>
      </c>
      <c r="D9" s="41" t="n">
        <v>2</v>
      </c>
      <c r="E9" s="41" t="n">
        <v>0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Func 0: lógica invertida; el ventilador se apaga al apagar el quemador y se enciende permanentemente al vencer el TON (falla 2,3,5,7,8). IEC 2: compila, declaraciones correctas, sin usar el TOF que corresponde.</t>
        </is>
      </c>
      <c r="J9" s="42" t="inlineStr">
        <is>
          <t>Usa tRetraso.Q (temporizador vencido) como condición de marcha, contradiciendo la intención declarada.</t>
        </is>
      </c>
      <c r="K9" s="42" t="inlineStr">
        <is>
          <t>Nombres y comentarios claros, aunque el comentario describe un comportamiento que el código no tiene.</t>
        </is>
      </c>
      <c r="L9" s="42" t="inlineStr">
        <is>
          <t>Lógica mínima; el tiempo es literal en un solo lugar.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B5-4246</t>
        </is>
      </c>
      <c r="B10" s="39" t="inlineStr">
        <is>
          <t>Compila. Falla 1 de 9 pasos del harness (pasos 0; numerados desde 0).</t>
        </is>
      </c>
      <c r="C10" s="41" t="n">
        <v>2</v>
      </c>
      <c r="D10" s="41" t="n">
        <v>2</v>
      </c>
      <c r="E10" s="41" t="n">
        <v>1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10" s="42" t="inlineStr">
        <is>
          <t>Lógica correcta salvo el estado inicial: el TON sin vencer al arranque activa el ventilador sin causa.</t>
        </is>
      </c>
      <c r="K10" s="42" t="inlineStr">
        <is>
          <t>Cabecera con la lógica y comentarios en cada parámetro; nombres claros.</t>
        </is>
      </c>
      <c r="L10" s="42" t="inlineStr">
        <is>
          <t>Lógica mínima; el tiempo es literal en un solo lugar.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B5-2235</t>
        </is>
      </c>
      <c r="B11" s="39" t="inlineStr">
        <is>
          <t>Compila. Falla 1 de 9 pasos del harness (pasos 0; numerados desde 0).</t>
        </is>
      </c>
      <c r="C11" s="41" t="n">
        <v>2</v>
      </c>
      <c r="D11" s="41" t="n">
        <v>2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11" s="42" t="inlineStr">
        <is>
          <t>Lógica correcta salvo el estado inicial: el TON sin vencer al arranque activa el ventilador sin causa.</t>
        </is>
      </c>
      <c r="K11" s="42" t="inlineStr">
        <is>
          <t>Cabecera con la lógica y comentarios útiles; nombres claros.</t>
        </is>
      </c>
      <c r="L11" s="42" t="inlineStr">
        <is>
          <t>Lógica mínima; el tiempo es literal en un solo lugar.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B5-6715</t>
        </is>
      </c>
      <c r="B12" s="39" t="inlineStr">
        <is>
          <t>Compila. Pasa los 9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todo; IEC 3: compila sin cambios y usa el TOF estándar bien instanciado con T#30S.</t>
        </is>
      </c>
      <c r="J12" s="42" t="inlineStr">
        <is>
          <t>Un TOF resuelve directamente retardo y rearme; sin estados ni condiciones redundantes.</t>
        </is>
      </c>
      <c r="K12" s="42" t="inlineStr">
        <is>
          <t>Nombres descriptivos y comentarios que explican la semántica del TOF.</t>
        </is>
      </c>
      <c r="L12" s="42" t="inlineStr">
        <is>
          <t>Lógica mínima sin duplicación; el tiempo es literal en la llamada pero en un solo lugar.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B5-8536</t>
        </is>
      </c>
      <c r="B13" s="39" t="inlineStr">
        <is>
          <t>Compila. Falla 3 de 9 pasos del harness (pasos 0,5,7; numerados desde 0).</t>
        </is>
      </c>
      <c r="C13" s="41" t="n">
        <v>0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Func 0: timerDone queda enclavado tras el primer post-enfriamiento y el temporizador no vuelve a ejecutarse, por lo que los ciclos siguientes no tienen post-enfriamiento (pasos 5,7) y además marcha 30 s al arranque (paso 0). IEC 2: compila con declaraciones correctas, sin usar el TOF estándar.</t>
        </is>
      </c>
      <c r="J13" s="42" t="inlineStr">
        <is>
          <t>La bandera timerDone nunca se restablece, lo que crea un estado muerto; la condición NOT quemadorOn es redundante.</t>
        </is>
      </c>
      <c r="K13" s="42" t="inlineStr">
        <is>
          <t>El comentario 'Inicialización del timer' rotula la lógica principal y confunde; nombres genéricos.</t>
        </is>
      </c>
      <c r="L13" s="42" t="inlineStr">
        <is>
          <t>La bandera y la llamada condicionada hacen frágil cualquier cambio.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B5-8802</t>
        </is>
      </c>
      <c r="B14" s="39" t="inlineStr">
        <is>
          <t>Compila sola, pero no se pudo simular: declara las entradas donde el harness no puede escribirlas ('quemadorOn' no es ninguna entrada de 'FB_VENTILADOR').</t>
        </is>
      </c>
      <c r="C14" s="41" t="n">
        <v>1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Func 1: la lógica TON+NOT haría el post-enfriamiento (con marcha espuria al arranque), pero quemadorOn y ventilador están en VAR, así que el FB no recibe la señal ni entrega la salida. IEC 1: compila, pero requiere corregir la interfaz a VAR_INPUT/VAR_OUTPUT.</t>
        </is>
      </c>
      <c r="J14" s="42" t="inlineStr">
        <is>
          <t>Lógica básicamente correcta, con una segunda llamada redundante al temporizador y una activación espuria al arranque.</t>
        </is>
      </c>
      <c r="K14" s="42" t="inlineStr">
        <is>
          <t>Comentarios que rotulan entrada y salida dentro de VAR; sin separación de E/S.</t>
        </is>
      </c>
      <c r="L14" s="42" t="inlineStr">
        <is>
          <t>Llamada duplicada al temporizador y una interfaz que hay que reestructurar.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B5-2103</t>
        </is>
      </c>
      <c r="B15" s="39" t="inlineStr">
        <is>
          <t>Compila. Pasa los 9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Pasa todo; IEC 3: compila sin cambios y usa el TOF estándar bien instanciado con T#30S.</t>
        </is>
      </c>
      <c r="J15" s="42" t="inlineStr">
        <is>
          <t>Un TOF resuelve directamente retardo y rearme; sin estados ni condiciones redundantes.</t>
        </is>
      </c>
      <c r="K15" s="42" t="inlineStr">
        <is>
          <t>Nombres descriptivos y comentario útil del propósito del temporizador.</t>
        </is>
      </c>
      <c r="L15" s="42" t="inlineStr">
        <is>
          <t>Lógica mínima sin duplicación; el tiempo es literal en la llamada pero en un solo lugar.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B5-3077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todo; IEC 3: compila sin cambios y usa el TOF estándar bien instanciado con T#30S.</t>
        </is>
      </c>
      <c r="J16" s="42" t="inlineStr">
        <is>
          <t>Un TOF resuelve directamente retardo y rearme; sin estados ni condiciones redundantes.</t>
        </is>
      </c>
      <c r="K16" s="42" t="inlineStr">
        <is>
          <t>Nombres descriptivos y comentarios que explican la semántica del TOF.</t>
        </is>
      </c>
      <c r="L16" s="42" t="inlineStr">
        <is>
          <t>Lógica mínima sin duplicación; el tiempo es literal en la llamada pero en un solo lugar.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B5-6054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Pasa todo; IEC 3: compila sin cambios y usa el TOF estándar bien instanciado con T#30S.</t>
        </is>
      </c>
      <c r="J17" s="42" t="inlineStr">
        <is>
          <t>Un TOF resuelve directamente retardo y rearme; sin estados ni condiciones redundantes.</t>
        </is>
      </c>
      <c r="K17" s="42" t="inlineStr">
        <is>
          <t>Nombres descriptivos y comentarios que explican la semántica del TOF.</t>
        </is>
      </c>
      <c r="L17" s="42" t="inlineStr">
        <is>
          <t>Lógica mínima sin duplicación; el tiempo es literal en la llamada pero en un solo lugar.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B5-6571</t>
        </is>
      </c>
      <c r="B18" s="39" t="inlineStr">
        <is>
          <t>Compila. Falla 1 de 9 pasos del harness (pasos 0; numerados desde 0).</t>
        </is>
      </c>
      <c r="C18" s="41" t="n">
        <v>2</v>
      </c>
      <c r="D18" s="41" t="n">
        <v>2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18" s="42" t="inlineStr">
        <is>
          <t>Lógica correcta salvo el estado inicial: el TON sin vencer al arranque activa el ventilador sin causa.</t>
        </is>
      </c>
      <c r="K18" s="42" t="inlineStr">
        <is>
          <t>Cabecera con la lógica y comentarios en los parámetros; nombres claros.</t>
        </is>
      </c>
      <c r="L18" s="42" t="inlineStr">
        <is>
          <t>Lógica mínima; el tiempo es literal en un solo lugar.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B5-9947</t>
        </is>
      </c>
      <c r="B19" s="39" t="inlineStr">
        <is>
          <t>Compila. Falla 5 de 9 pasos del harness (pasos 2,3,5,7,8;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Func 0: lógica invertida; el ventilador se apaga al apagar el quemador y se enciende permanentemente al vencer el TON (falla 2,3,5,7,8). IEC 2: compila, declaraciones correctas, sin usar el TOF que corresponde.</t>
        </is>
      </c>
      <c r="J19" s="42" t="inlineStr">
        <is>
          <t>Usa tRetraso.Q (temporizador vencido) como condición de marcha, contradiciendo la intención declarada.</t>
        </is>
      </c>
      <c r="K19" s="42" t="inlineStr">
        <is>
          <t>Nombres y comentarios claros, aunque el comentario describe un comportamiento que el código no tiene.</t>
        </is>
      </c>
      <c r="L19" s="42" t="inlineStr">
        <is>
          <t>Lógica mínima; el tiempo es literal en un solo lugar.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B5-4296</t>
        </is>
      </c>
      <c r="B20" s="39" t="inlineStr">
        <is>
          <t>Compila. Falla 1 de 9 pasos del harness (pasos 0; numerados desde 0).</t>
        </is>
      </c>
      <c r="C20" s="41" t="n">
        <v>2</v>
      </c>
      <c r="D20" s="41" t="n">
        <v>2</v>
      </c>
      <c r="E20" s="41" t="n">
        <v>1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20" s="42" t="inlineStr">
        <is>
          <t>Lógica correcta salvo el estado inicial: el TON sin vencer al arranque activa el ventilador sin causa.</t>
        </is>
      </c>
      <c r="K20" s="42" t="inlineStr">
        <is>
          <t>Comentarios claros, aunque menciona un flanco descendente que no se usa.</t>
        </is>
      </c>
      <c r="L20" s="42" t="inlineStr">
        <is>
          <t>Lógica mínima; el tiempo es literal en un solo lugar.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B5-7882</t>
        </is>
      </c>
      <c r="B21" s="39" t="inlineStr">
        <is>
          <t>Compila. Falla 2 de 9 pasos del harness (pasos 0,7; numerados desde 0).</t>
        </is>
      </c>
      <c r="C21" s="41" t="n">
        <v>1</v>
      </c>
      <c r="D21" s="41" t="n">
        <v>2</v>
      </c>
      <c r="E21" s="41" t="n">
        <v>1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 1: funciona en el ciclo nominal, pero el TP no se rearma al reactivar el quemador (segundo post-enfriamiento corto, paso 7) y arranca 30 s al inicio (paso 0). IEC 2: compila, pero llama a la misma instancia TP en ramas distintas, uso poco idiomático.</t>
        </is>
      </c>
      <c r="J21" s="42" t="inlineStr">
        <is>
          <t>Llamar al TP con IN := FALSE no lo reinicia durante el pulso; el comentario 'reiniciar' no se cumple y el rearme es incorrecto.</t>
        </is>
      </c>
      <c r="K21" s="42" t="inlineStr">
        <is>
          <t>Comentarios por rama y nombres adecuados; la variable estadoVentilador es superflua.</t>
        </is>
      </c>
      <c r="L21" s="42" t="inlineStr">
        <is>
          <t>Lógica localizada, aunque la instancia se llama en dos ramas y añade una variable intermedia innecesaria.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B5-6010</t>
        </is>
      </c>
      <c r="B22" s="39" t="inlineStr">
        <is>
          <t>Compila. Falla 3 de 9 pasos del harness (pasos 0,5,7; numerados desde 0).</t>
        </is>
      </c>
      <c r="C22" s="41" t="n">
        <v>0</v>
      </c>
      <c r="D22" s="41" t="n">
        <v>2</v>
      </c>
      <c r="E22" s="41" t="n">
        <v>0</v>
      </c>
      <c r="F22" s="41" t="n">
        <v>1</v>
      </c>
      <c r="G22" s="41" t="n">
        <v>1</v>
      </c>
      <c r="H22" s="40">
        <f>IF(COUNT(C22:G22)=5,SUM(C22:G22),"")</f>
        <v/>
      </c>
      <c r="I22" s="42" t="inlineStr">
        <is>
          <t>Func 0: timerDone queda enclavado tras el primer post-enfriamiento y el temporizador no vuelve a ejecutarse; los ciclos siguientes no tienen post-enfriamiento (pasos 5,7), además de marcha espuria al arranque (paso 0). IEC 2: compila con declaraciones correctas, sin el TOF estándar.</t>
        </is>
      </c>
      <c r="J22" s="42" t="inlineStr">
        <is>
          <t>La bandera timerDone nunca se restablece, lo que crea un estado muerto que anula la función tras el primer uso.</t>
        </is>
      </c>
      <c r="K22" s="42" t="inlineStr">
        <is>
          <t>El comentario 'Inicialización del timer' rotula la lógica principal y confunde; nombres genéricos.</t>
        </is>
      </c>
      <c r="L22" s="42" t="inlineStr">
        <is>
          <t>La bandera y la llamada condicionada hacen frágil cualquier cambio.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B5-8869</t>
        </is>
      </c>
      <c r="B23" s="39" t="inlineStr">
        <is>
          <t>Compila. Falla 2 de 9 pasos del harness (pasos 0,7;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 1: funciona en el ciclo nominal, pero el TP no se rearma al reactivar el quemador (segundo post-enfriamiento corto, paso 7) y arranca 30 s al inicio (paso 0). IEC 2: compila, pero llama a la misma instancia TP en ramas distintas, uso poco idiomático.</t>
        </is>
      </c>
      <c r="J23" s="42" t="inlineStr">
        <is>
          <t>Llamar al TP con IN := FALSE no lo reinicia durante el pulso; el comentario 'reiniciar' no se cumple y el rearme es incorrecto.</t>
        </is>
      </c>
      <c r="K23" s="42" t="inlineStr">
        <is>
          <t>Compacto, con comentarios por rama y nombres adecuados.</t>
        </is>
      </c>
      <c r="L23" s="42" t="inlineStr">
        <is>
          <t>Lógica localizada, aunque la instancia se llama en dos ramas.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B5-8798</t>
        </is>
      </c>
      <c r="B24" s="39" t="inlineStr">
        <is>
          <t>Compila sola, pero no se pudo simular: declara las entradas donde el harness no puede escribirlas ('quemadorOn' no es ninguna entrada de 'FB_VENTILADOR').</t>
        </is>
      </c>
      <c r="C24" s="41" t="n">
        <v>0</v>
      </c>
      <c r="D24" s="41" t="n">
        <v>1</v>
      </c>
      <c r="E24" s="41" t="n">
        <v>0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Func 0: ventilador := timer.Q invierte la lógica (apagado 30 s y después encendido), y además la interfaz en VAR impide recibir la entrada. IEC 1: compila, pero requiere corregir la interfaz a VAR_INPUT/VAR_OUTPUT.</t>
        </is>
      </c>
      <c r="J24" s="42" t="inlineStr">
        <is>
          <t>Usa la salida de temporizador vencido como condición de marcha, contradiciendo la intención y el comentario.</t>
        </is>
      </c>
      <c r="K24" s="42" t="inlineStr">
        <is>
          <t>Comentarios abundantes, pero entrada y salida rotuladas dentro de VAR sin separación de E/S y con un comentario que no se cumple.</t>
        </is>
      </c>
      <c r="L24" s="42" t="inlineStr">
        <is>
          <t>Interfaz mal declarada y la instancia se llama en dos ramas; hay que reescribir.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B5-2379</t>
        </is>
      </c>
      <c r="B25" s="39" t="inlineStr">
        <is>
          <t>Compila. Pasa los 9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todo; IEC 3: compila sin cambios y usa el TOF estándar bien instanciado con T#30S.</t>
        </is>
      </c>
      <c r="J25" s="42" t="inlineStr">
        <is>
          <t>Un TOF resuelve directamente retardo y rearme; sin estados ni condiciones redundantes.</t>
        </is>
      </c>
      <c r="K25" s="42" t="inlineStr">
        <is>
          <t>Nombres descriptivos y comentario útil del propósito del temporizador.</t>
        </is>
      </c>
      <c r="L25" s="42" t="inlineStr">
        <is>
          <t>Lógica mínima sin duplicación; el tiempo es literal en la llamada pero en un solo lugar.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B5-8170</t>
        </is>
      </c>
      <c r="B26" s="39" t="inlineStr">
        <is>
          <t>Compila. Pasa los 9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IEC 3: compila sin cambios y usa el TOF estándar bien instanciado con T#30S.</t>
        </is>
      </c>
      <c r="J26" s="42" t="inlineStr">
        <is>
          <t>Un TOF resuelve directamente retardo y rearme; sin estados ni condiciones redundantes.</t>
        </is>
      </c>
      <c r="K26" s="42" t="inlineStr">
        <is>
          <t>Nombres descriptivos y comentario útil del propósito del temporizador.</t>
        </is>
      </c>
      <c r="L26" s="42" t="inlineStr">
        <is>
          <t>Lógica mínima sin duplicación; el tiempo es literal en la llamada pero en un solo lugar.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B5-2653</t>
        </is>
      </c>
      <c r="B27" s="39" t="inlineStr">
        <is>
          <t>Compila. Falla 5 de 9 pasos del harness (pasos 2,3,5,7,8; numerados desde 0).</t>
        </is>
      </c>
      <c r="C27" s="41" t="n">
        <v>0</v>
      </c>
      <c r="D27" s="41" t="n">
        <v>2</v>
      </c>
      <c r="E27" s="41" t="n">
        <v>0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 0: lógica invertida; el ventilador se apaga al apagar el quemador y se enciende permanentemente al vencer el TON (falla 2,3,5,7,8). IEC 2: compila, declaraciones correctas, sin usar el TOF que corresponde.</t>
        </is>
      </c>
      <c r="J27" s="42" t="inlineStr">
        <is>
          <t>Usa tRetraso.Q (temporizador vencido) como condición de marcha, contradiciendo la intención declarada.</t>
        </is>
      </c>
      <c r="K27" s="42" t="inlineStr">
        <is>
          <t>Nombres y comentarios claros, aunque el comentario describe un comportamiento que el código no tiene.</t>
        </is>
      </c>
      <c r="L27" s="42" t="inlineStr">
        <is>
          <t>Lógica mínima; el tiempo es literal en un solo lugar.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B5-2367</t>
        </is>
      </c>
      <c r="B28" s="39" t="inlineStr">
        <is>
          <t>Compila. Falla 2 de 9 pasos del harness (pasos 0,7; numerados desde 0).</t>
        </is>
      </c>
      <c r="C28" s="41" t="n">
        <v>1</v>
      </c>
      <c r="D28" s="41" t="n">
        <v>2</v>
      </c>
      <c r="E28" s="41" t="n">
        <v>1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 1: funciona en el ciclo nominal, pero el TP no se rearma al reactivar el quemador (segundo post-enfriamiento corto, paso 7) y arranca 30 s al inicio (paso 0). IEC 2: compila, pero llama a la misma instancia TP en ramas distintas, uso poco idiomático.</t>
        </is>
      </c>
      <c r="J28" s="42" t="inlineStr">
        <is>
          <t>Llamar al TP con IN := FALSE no lo reinicia durante el pulso; el comentario 'reiniciar' no se cumple y el rearme es incorrecto.</t>
        </is>
      </c>
      <c r="K28" s="42" t="inlineStr">
        <is>
          <t>Comentarios por rama y nombres adecuados; la variable estadoVentilador es superflua.</t>
        </is>
      </c>
      <c r="L28" s="42" t="inlineStr">
        <is>
          <t>Lógica localizada, aunque la instancia se llama en dos ramas y añade una variable intermedia innecesaria.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B5-3623</t>
        </is>
      </c>
      <c r="B29" s="39" t="inlineStr">
        <is>
          <t>Compila. Falla 3 de 9 pasos del harness (pasos 2,5,7;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Func 0: el TON se reinicia en cada scan mientras no vence, de modo que nunca vence, y ventilador := timer.Q apaga el ventilador al apagar el quemador (pasos 2,5,7). IEC 2: compila, pero llama hasta tres veces por scan a la misma instancia.</t>
        </is>
      </c>
      <c r="J29" s="42" t="inlineStr">
        <is>
          <t>El reinicio condicional del temporizador y la lógica de salida invertida se contradicen; timerDone declarada sin usar.</t>
        </is>
      </c>
      <c r="K29" s="42" t="inlineStr">
        <is>
          <t>'Inicialización del timer' rotula una lógica que no inicializa y los comentarios no corresponden al comportamiento real.</t>
        </is>
      </c>
      <c r="L29" s="42" t="inlineStr">
        <is>
          <t>Llamadas múltiples a la misma instancia y una variable sin uso hacen frágil cualquier cambio.</t>
        </is>
      </c>
      <c r="M29" s="42" t="n"/>
      <c r="N29" s="40">
        <f>IF(COUNT(C29:G29)=5,"Completa","Falta")</f>
        <v/>
      </c>
    </row>
    <row r="30"/>
  </sheetData>
  <dataValidations count="3">
    <dataValidation sqref="C7:C11 C13:C14 C18:C24 C27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B6 — Baliza intermitente (Basico)</t>
        </is>
      </c>
    </row>
    <row r="2" ht="15" customHeight="1" s="22">
      <c r="A2" s="33" t="inlineStr">
        <is>
          <t>Lee cada respuesta por su código en respuestas/Respuestas_B6.html.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B6-4934</t>
        </is>
      </c>
      <c r="B6" s="39" t="inlineStr">
        <is>
          <t>Compila. Falla 1 de 3 pasos del harness (pasos 1; numerados desde 0).</t>
        </is>
      </c>
      <c r="C6" s="41" t="n">
        <v>0</v>
      </c>
      <c r="D6" s="41" t="n">
        <v>2</v>
      </c>
      <c r="E6" s="41" t="n">
        <v>0</v>
      </c>
      <c r="F6" s="41" t="n">
        <v>1</v>
      </c>
      <c r="G6" s="41" t="n">
        <v>1</v>
      </c>
      <c r="H6" s="40">
        <f>IF(COUNT(C6:G6)=5,SUM(C6:G6),"")</f>
        <v/>
      </c>
      <c r="I6" s="42" t="inlineStr">
        <is>
          <t>Func 0: la llamada inicial con IN := estado_parpadeo = FALSE reinicia el TON en cada scan, así que nunca vence y la lámpara no parpadea (paso 1). IEC 2: compila, pero con tres llamadas por scan a la misma instancia.</t>
        </is>
      </c>
      <c r="J6" s="42" t="inlineStr">
        <is>
          <t>La primera llamada con IN := estado_parpadeo (FALSE) reinicia el TON en cada scan y contradice la llamada siguiente; el temporizador nunca vence.</t>
        </is>
      </c>
      <c r="K6" s="42" t="inlineStr">
        <is>
          <t>El comentario 'Inicialización del temporizador' rotula una llamada que no inicializa; por lo demás está comentado.</t>
        </is>
      </c>
      <c r="L6" s="42" t="inlineStr">
        <is>
          <t>Tres llamadas a la misma instancia acopladas entre sí; cualquier cambio es frágil.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B6-2374</t>
        </is>
      </c>
      <c r="B7" s="39" t="inlineStr">
        <is>
          <t>Compila. Falla 1 de 3 pasos del harness (pasos 1;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Func 0: la llamada inicial con IN := estado_parpadeo = FALSE reinicia el TON en cada scan; el temporizador no vence y no hay parpadeo (paso 1). IEC 2: compila, pero con múltiples llamadas por scan a la misma instancia.</t>
        </is>
      </c>
      <c r="J7" s="42" t="inlineStr">
        <is>
          <t>La primera llamada con IN := estado_parpadeo (FALSE) reinicia el TON en cada scan y contradice la llamada siguiente; el temporizador nunca vence.</t>
        </is>
      </c>
      <c r="K7" s="42" t="inlineStr">
        <is>
          <t>El comentario 'Inicialización del temporizador' rotula una llamada que no inicializa; comentarios por línea.</t>
        </is>
      </c>
      <c r="L7" s="42" t="inlineStr">
        <is>
          <t>Varias llamadas acopladas a la misma instancia; cambios frágiles.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B6-5301</t>
        </is>
      </c>
      <c r="B8" s="39" t="inlineStr">
        <is>
          <t>Compila. Pasa los 3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Pasa todo; IEC 2: compila con tipos correctos, pero llama varias veces por scan a tOn/tOff y repite PT.</t>
        </is>
      </c>
      <c r="J8" s="42" t="inlineStr">
        <is>
          <t>Funciona sin contradicciones, pero parpadeo queda casi siempre TRUE y la condición de arranque es redundante; mecanismo innecesariamente enrevesado.</t>
        </is>
      </c>
      <c r="K8" s="42" t="inlineStr">
        <is>
          <t>Comentarios por bloque y nombres adecuados, aunque la lógica real es más difícil de seguir de lo que sugieren.</t>
        </is>
      </c>
      <c r="L8" s="42" t="inlineStr">
        <is>
          <t>T#1S repetido seis veces y llamadas duplicadas; modificar el ciclo exige varias ediciones.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B6-5850</t>
        </is>
      </c>
      <c r="B9" s="39" t="inlineStr">
        <is>
          <t>Compila. Pasa los 3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Pasa todo; IEC 3: compila sin cambios; generador clásico con dos TON estándar bien instanciados y T#1S.</t>
        </is>
      </c>
      <c r="J9" s="42" t="inlineStr">
        <is>
          <t>Dos TON acoplados forman un oscilador autónomo que se detiene y reinicia con la alarma; sin estados redundantes.</t>
        </is>
      </c>
      <c r="K9" s="42" t="inlineStr">
        <is>
          <t>Compacto, con nombres claros y comentarios útiles.</t>
        </is>
      </c>
      <c r="L9" s="42" t="inlineStr">
        <is>
          <t>Lógica mínima sin duplicación; T#1S literal en dos llamadas, cada una con un significado distinto.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B6-8282</t>
        </is>
      </c>
      <c r="B10" s="39" t="inlineStr">
        <is>
          <t>Compila. Pasa los 3 pasos del harness.</t>
        </is>
      </c>
      <c r="C10" s="40" t="n">
        <v>3</v>
      </c>
      <c r="D10" s="41" t="n">
        <v>2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Pasa todo; IEC 2: compila con tipos correctos, pero llama a cada TON varias veces por scan con PT repetido, lo que no es idiomático.</t>
        </is>
      </c>
      <c r="J10" s="42" t="inlineStr">
        <is>
          <t>Máquina de dos fases explícita con reinicio completo sin alarma; transiciones completas y salida segura.</t>
        </is>
      </c>
      <c r="K10" s="42" t="inlineStr">
        <is>
          <t>Secciones delimitadas y comentarios por fase que explican el porqué de cada reinicio.</t>
        </is>
      </c>
      <c r="L10" s="42" t="inlineStr">
        <is>
          <t>T#1S repetido en 6-8 llamadas y lógica de fases duplicada; cambiar el periodo exige varias ediciones.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B6-1513</t>
        </is>
      </c>
      <c r="B11" s="39" t="inlineStr">
        <is>
          <t>Compila. Falla 1 de 3 pasos del harness (pasos 1; numerados desde 0).</t>
        </is>
      </c>
      <c r="C11" s="41" t="n">
        <v>0</v>
      </c>
      <c r="D11" s="41" t="n">
        <v>2</v>
      </c>
      <c r="E11" s="41" t="n">
        <v>0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Func 0: estado se invierte en cada scan, por lo que la lámpara conmuta a la frecuencia del ciclo; el TP no interviene (paso 1). IEC 2: compila con declaraciones correctas.</t>
        </is>
      </c>
      <c r="J11" s="42" t="inlineStr">
        <is>
          <t>El temporizador se ejecuta pero su salida nunca se usa; la conmutación incondicional por scan contradice el propósito.</t>
        </is>
      </c>
      <c r="K11" s="42" t="inlineStr">
        <is>
          <t>El comentario 'Inicialización del temporizador' rotula la lógica principal; nombres genéricos.</t>
        </is>
      </c>
      <c r="L11" s="42" t="inlineStr">
        <is>
          <t>Un temporizador sin efecto y la lógica de conmutación obligan a reescribir para obtener el ciclo.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B6-5704</t>
        </is>
      </c>
      <c r="B12" s="39" t="inlineStr">
        <is>
          <t>Compila. Falla 1 de 3 pasos del harness (pasos 1; numerados desde 0).</t>
        </is>
      </c>
      <c r="C12" s="41" t="n">
        <v>0</v>
      </c>
      <c r="D12" s="41" t="n">
        <v>2</v>
      </c>
      <c r="E12" s="41" t="n">
        <v>0</v>
      </c>
      <c r="F12" s="41" t="n">
        <v>1</v>
      </c>
      <c r="G12" s="41" t="n">
        <v>2</v>
      </c>
      <c r="H12" s="40">
        <f>IF(COUNT(C12:G12)=5,SUM(C12:G12),"")</f>
        <v/>
      </c>
      <c r="I12" s="42" t="inlineStr">
        <is>
          <t>Func 0: el TP con IN siempre TRUE da un único pulso de 1 s y no se redispara; la lámpara se enciende 1 s y queda apagada (paso 1). IEC 2: compila con declaraciones correctas.</t>
        </is>
      </c>
      <c r="J12" s="42" t="inlineStr">
        <is>
          <t>No hay mecanismo de oscilación: el TP nunca ve un nuevo flanco y estado es una copia redundante de Q.</t>
        </is>
      </c>
      <c r="K12" s="42" t="inlineStr">
        <is>
          <t>El comentario 'Inicialización del temporizador' rotula la lógica principal; comentarios escasos.</t>
        </is>
      </c>
      <c r="L12" s="42" t="inlineStr">
        <is>
          <t>Código corto y localizado, aunque con una variable redundante.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B6-2528</t>
        </is>
      </c>
      <c r="B13" s="39" t="inlineStr">
        <is>
          <t>Compila. Pasa los 3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Pasa todo; IEC 2: compila con tipos correctos, pero llama varias veces por scan a tOn/tOff y repite PT.</t>
        </is>
      </c>
      <c r="J13" s="42" t="inlineStr">
        <is>
          <t>Funciona sin contradicciones, pero parpadeo queda casi siempre TRUE y la condición de arranque es redundante.</t>
        </is>
      </c>
      <c r="K13" s="42" t="inlineStr">
        <is>
          <t>Comentarios por bloque y nombres adecuados; la mecánica real queda poco clara.</t>
        </is>
      </c>
      <c r="L13" s="42" t="inlineStr">
        <is>
          <t>T#1S repetido seis veces y llamadas duplicadas; modificar el ciclo exige varias ediciones.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B6-6083</t>
        </is>
      </c>
      <c r="B14" s="39" t="inlineStr">
        <is>
          <t>Compila. Pasa los 3 pasos del harness.</t>
        </is>
      </c>
      <c r="C14" s="40" t="n">
        <v>3</v>
      </c>
      <c r="D14" s="41" t="n">
        <v>2</v>
      </c>
      <c r="E14" s="41" t="n">
        <v>2</v>
      </c>
      <c r="F14" s="41" t="n">
        <v>1</v>
      </c>
      <c r="G14" s="41" t="n">
        <v>2</v>
      </c>
      <c r="H14" s="40">
        <f>IF(COUNT(C14:G14)=5,SUM(C14:G14),"")</f>
        <v/>
      </c>
      <c r="I14" s="42" t="inlineStr">
        <is>
          <t>Pasa todo; IEC 2: compila, pero con un TON de marcha libre, comparación Q = FALSE y doble llamada de reinicio en el mismo scan.</t>
        </is>
      </c>
      <c r="J14" s="42" t="inlineStr">
        <is>
          <t>Funciona, pero el temporizador corre aunque no haya alarma y estado no se reinicia, así que la fase inicial es arbitraria.</t>
        </is>
      </c>
      <c r="K14" s="42" t="inlineStr">
        <is>
          <t>'Inicialización del timer' rotula una llamada condicional y 'conteo hacia arriba' es irrelevante; nombres genéricos.</t>
        </is>
      </c>
      <c r="L14" s="42" t="inlineStr">
        <is>
          <t>Un solo tiempo literal y lógica breve; cambios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B6-8430</t>
        </is>
      </c>
      <c r="B15" s="39" t="inlineStr">
        <is>
          <t>Compila. Pasa los 3 pasos del harness.</t>
        </is>
      </c>
      <c r="C15" s="40" t="n">
        <v>3</v>
      </c>
      <c r="D15" s="41" t="n">
        <v>2</v>
      </c>
      <c r="E15" s="41" t="n">
        <v>2</v>
      </c>
      <c r="F15" s="41" t="n">
        <v>1</v>
      </c>
      <c r="G15" s="41" t="n">
        <v>2</v>
      </c>
      <c r="H15" s="40">
        <f>IF(COUNT(C15:G15)=5,SUM(C15:G15),"")</f>
        <v/>
      </c>
      <c r="I15" s="42" t="inlineStr">
        <is>
          <t>Pasa todo; IEC 2: compila, pero con un TON de marcha libre, comparación Q = FALSE y doble llamada de reinicio en el mismo scan.</t>
        </is>
      </c>
      <c r="J15" s="42" t="inlineStr">
        <is>
          <t>Funciona, pero el temporizador corre aunque no haya alarma y estado no se reinicia, así que la fase inicial es arbitraria.</t>
        </is>
      </c>
      <c r="K15" s="42" t="inlineStr">
        <is>
          <t>'Inicialización del timer' rotula una llamada condicional; nombres genéricos (timer, estado).</t>
        </is>
      </c>
      <c r="L15" s="42" t="inlineStr">
        <is>
          <t>Un solo tiempo literal y lógica breve;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B6-6488</t>
        </is>
      </c>
      <c r="B16" s="39" t="inlineStr">
        <is>
          <t>Compila. Pasa los 3 pasos del harness.</t>
        </is>
      </c>
      <c r="C16" s="40" t="n">
        <v>3</v>
      </c>
      <c r="D16" s="41" t="n">
        <v>2</v>
      </c>
      <c r="E16" s="41" t="n">
        <v>2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todo; IEC 2: compila; usa el TON autorreiniciado, pero añade una segunda llamada de reinicio redundante a la misma instancia.</t>
        </is>
      </c>
      <c r="J16" s="42" t="inlineStr">
        <is>
          <t>Funciona; estadoParpadeo no se reinicia al retirar la alarma (la fase inicial queda arbitraria) y la llamada de reinicio es redundante.</t>
        </is>
      </c>
      <c r="K16" s="42" t="inlineStr">
        <is>
          <t>Comentarios útiles y nombres descriptivos.</t>
        </is>
      </c>
      <c r="L16" s="42" t="inlineStr">
        <is>
          <t>Un solo tiempo literal y lógica breve sin duplicación.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B6-9731</t>
        </is>
      </c>
      <c r="B17" s="39" t="inlineStr">
        <is>
          <t>Compila. Falla 1 de 3 pasos del harness (pasos 1; numerados desde 0).</t>
        </is>
      </c>
      <c r="C17" s="41" t="n">
        <v>0</v>
      </c>
      <c r="D17" s="41" t="n">
        <v>2</v>
      </c>
      <c r="E17" s="41" t="n">
        <v>0</v>
      </c>
      <c r="F17" s="41" t="n">
        <v>1</v>
      </c>
      <c r="G17" s="41" t="n">
        <v>2</v>
      </c>
      <c r="H17" s="40">
        <f>IF(COUNT(C17:G17)=5,SUM(C17:G17),"")</f>
        <v/>
      </c>
      <c r="I17" s="42" t="inlineStr">
        <is>
          <t>Func 0: el TP con IN siempre TRUE da un único pulso de 1 s y no se redispara; no hay parpadeo sostenido (paso 1). IEC 2: compila con declaraciones correctas.</t>
        </is>
      </c>
      <c r="J17" s="42" t="inlineStr">
        <is>
          <t>No hay mecanismo de oscilación: el TP nunca ve un nuevo flanco y estado es una copia redundante de Q.</t>
        </is>
      </c>
      <c r="K17" s="42" t="inlineStr">
        <is>
          <t>El comentario 'Inicialización del temporizador' rotula la lógica principal; comentarios escasos.</t>
        </is>
      </c>
      <c r="L17" s="42" t="inlineStr">
        <is>
          <t>Código corto y localizado, aunque con una variable redundante.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B6-2737</t>
        </is>
      </c>
      <c r="B18" s="39" t="inlineStr">
        <is>
          <t>Compila. Pasa los 3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Pasa todo; IEC 3: compila sin cambios; generador clásico con dos TON estándar bien instanciados y T#1S.</t>
        </is>
      </c>
      <c r="J18" s="42" t="inlineStr">
        <is>
          <t>Dos TON acoplados forman un oscilador autónomo que se detiene y reinicia con la alarma; sin estados redundantes.</t>
        </is>
      </c>
      <c r="K18" s="42" t="inlineStr">
        <is>
          <t>Nombres descriptivos y comentarios que explican el papel de cada temporizador.</t>
        </is>
      </c>
      <c r="L18" s="42" t="inlineStr">
        <is>
          <t>Lógica mínima sin duplicación; T#1S literal en dos llamadas, cada una con un significado distinto.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B6-7900</t>
        </is>
      </c>
      <c r="B19" s="39" t="inlineStr">
        <is>
          <t>Compila. Falla 1 de 3 pasos del harness (pasos 1; numerados desde 0).</t>
        </is>
      </c>
      <c r="C19" s="41" t="n">
        <v>0</v>
      </c>
      <c r="D19" s="41" t="n">
        <v>2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 0: la lámpara sigue a parpadeo, que permanece TRUE durante las fases de tOn y tOff y solo cae un scan; queda prácticamente encendida (paso 1). IEC 2: compila, aunque lee tOn.IN/tOff.IN, entradas de la instancia, en lugar de usar variables propias.</t>
        </is>
      </c>
      <c r="J19" s="42" t="inlineStr">
        <is>
          <t>El ciclo interno de dos temporizadores es consistente, pero la salida ignora la fase, lo que anula el periodo apagado.</t>
        </is>
      </c>
      <c r="K19" s="42" t="inlineStr">
        <is>
          <t>Comentarios por bloque y nombres adecuados.</t>
        </is>
      </c>
      <c r="L19" s="42" t="inlineStr">
        <is>
          <t>T#1S repetido cuatro veces y dependencia de entradas internas de las instancias; cambios frágiles.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B6-3083</t>
        </is>
      </c>
      <c r="B20" s="39" t="inlineStr">
        <is>
          <t>Compila. Pasa los 3 pasos del harness.</t>
        </is>
      </c>
      <c r="C20" s="40" t="n">
        <v>3</v>
      </c>
      <c r="D20" s="41" t="n">
        <v>2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Pasa todo; IEC 2: compila con tipos correctos, pero llama a cada TON varias veces por scan con PT repetido, lo que no es idiomático.</t>
        </is>
      </c>
      <c r="J20" s="42" t="inlineStr">
        <is>
          <t>Máquina de dos fases explícita con reinicio completo sin alarma; transiciones completas y salida segura.</t>
        </is>
      </c>
      <c r="K20" s="42" t="inlineStr">
        <is>
          <t>Cabecera que describe el comportamiento y comentarios por fase que justifican cada reinicio.</t>
        </is>
      </c>
      <c r="L20" s="42" t="inlineStr">
        <is>
          <t>T#1S repetido en 6-8 llamadas y lógica de fases duplicada; cambiar el periodo exige varias ediciones.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B6-2545</t>
        </is>
      </c>
      <c r="B21" s="39" t="inlineStr">
        <is>
          <t>Compila. Pasa los 3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Pasa todo; IEC 2: compila, pero el TON se llama dos veces por scan y corre libremente con IN := TRUE.</t>
        </is>
      </c>
      <c r="J21" s="42" t="inlineStr">
        <is>
          <t>Funciona, pero el temporizador corre aunque no haya alarma y estado no se reinicia, así que la fase inicial es arbitraria.</t>
        </is>
      </c>
      <c r="K21" s="42" t="inlineStr">
        <is>
          <t>Comentarios por bloque y nombres aceptables.</t>
        </is>
      </c>
      <c r="L21" s="42" t="inlineStr">
        <is>
          <t>Un solo tiempo literal y lógica breve; cambios localizados.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B6-7904</t>
        </is>
      </c>
      <c r="B22" s="39" t="inlineStr">
        <is>
          <t>Compila. Pasa los 3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Pasa todo; IEC 3: compila sin cambios; generador clásico con dos TON estándar bien instanciados y T#1S.</t>
        </is>
      </c>
      <c r="J22" s="42" t="inlineStr">
        <is>
          <t>Dos TON acoplados forman un oscilador autónomo que se detiene y reinicia con la alarma; sin estados redundantes.</t>
        </is>
      </c>
      <c r="K22" s="42" t="inlineStr">
        <is>
          <t>Nombres descriptivos y comentarios que explican cada temporizador.</t>
        </is>
      </c>
      <c r="L22" s="42" t="inlineStr">
        <is>
          <t>Lógica mínima sin duplicación; T#1S literal en dos llamadas, cada una con un significado distinto.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B6-5267</t>
        </is>
      </c>
      <c r="B23" s="39" t="inlineStr">
        <is>
          <t>Compila. Pasa los 3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Pasa todo; IEC 3: compila sin cambios; generador clásico con dos TON estándar bien instanciados y T#1S.</t>
        </is>
      </c>
      <c r="J23" s="42" t="inlineStr">
        <is>
          <t>Dos TON acoplados forman un oscilador autónomo que se detiene y reinicia con la alarma; sin estados redundantes.</t>
        </is>
      </c>
      <c r="K23" s="42" t="inlineStr">
        <is>
          <t>Compacto, con nombres claros y comentarios útiles.</t>
        </is>
      </c>
      <c r="L23" s="42" t="inlineStr">
        <is>
          <t>Lógica mínima sin duplicación; T#1S literal en dos llamadas, cada una con un significado distinto.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B6-2365</t>
        </is>
      </c>
      <c r="B24" s="39" t="inlineStr">
        <is>
          <t>Compila. Pasa los 3 pasos del harness.</t>
        </is>
      </c>
      <c r="C24" s="40" t="n">
        <v>3</v>
      </c>
      <c r="D24" s="41" t="n">
        <v>2</v>
      </c>
      <c r="E24" s="41" t="n">
        <v>3</v>
      </c>
      <c r="F24" s="41" t="n">
        <v>3</v>
      </c>
      <c r="G24" s="41" t="n">
        <v>1</v>
      </c>
      <c r="H24" s="40">
        <f>IF(COUNT(C24:G24)=5,SUM(C24:G24),"")</f>
        <v/>
      </c>
      <c r="I24" s="42" t="inlineStr">
        <is>
          <t>Pasa todo; IEC 2: compila con tipos correctos, pero llama a cada TON varias veces por scan con PT repetido, lo que no es idiomático.</t>
        </is>
      </c>
      <c r="J24" s="42" t="inlineStr">
        <is>
          <t>Máquina de dos fases explícita con reinicio completo sin alarma; transiciones completas y salida segura.</t>
        </is>
      </c>
      <c r="K24" s="42" t="inlineStr">
        <is>
          <t>Cabecera que describe el comportamiento y comentarios por fase que justifican cada reinicio.</t>
        </is>
      </c>
      <c r="L24" s="42" t="inlineStr">
        <is>
          <t>T#1S repetido en 6-8 llamadas y lógica de fases duplicada; cambiar el periodo exige varias ediciones.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B6-3667</t>
        </is>
      </c>
      <c r="B25" s="39" t="inlineStr">
        <is>
          <t>Compila. Pasa los 3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todo; IEC 3: compila sin cambios; generador clásico con dos TON estándar bien instanciados y T#1S.</t>
        </is>
      </c>
      <c r="J25" s="42" t="inlineStr">
        <is>
          <t>Dos TON acoplados forman un oscilador autónomo que se detiene y reinicia con la alarma; sin estados redundantes.</t>
        </is>
      </c>
      <c r="K25" s="42" t="inlineStr">
        <is>
          <t>Comentarios por temporizador y nombres claros.</t>
        </is>
      </c>
      <c r="L25" s="42" t="inlineStr">
        <is>
          <t>Lógica mínima sin duplicación; T#1S literal en dos llamadas, cada una con un significado distinto.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B6-7194</t>
        </is>
      </c>
      <c r="B26" s="39" t="inlineStr">
        <is>
          <t>Compila. Pasa los 3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IEC 3: compila sin cambios; generador clásico con dos TON estándar bien instanciados y T#1S.</t>
        </is>
      </c>
      <c r="J26" s="42" t="inlineStr">
        <is>
          <t>Dos TON acoplados forman un oscilador autónomo que se detiene y reinicia con la alarma; sin estados redundantes.</t>
        </is>
      </c>
      <c r="K26" s="42" t="inlineStr">
        <is>
          <t>Compacto, con nombres claros y comentarios útiles.</t>
        </is>
      </c>
      <c r="L26" s="42" t="inlineStr">
        <is>
          <t>Lógica mínima sin duplicación; T#1S literal en dos llamadas, cada una con un significado distinto.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B6-1976</t>
        </is>
      </c>
      <c r="B27" s="39" t="inlineStr">
        <is>
          <t>Compila. Pasa los 3 pasos del harness.</t>
        </is>
      </c>
      <c r="C27" s="40" t="n">
        <v>3</v>
      </c>
      <c r="D27" s="41" t="n">
        <v>2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Pasa todo; IEC 2: compila; usa el TON autorreiniciado, pero añade una segunda llamada de reinicio redundante a la misma instancia.</t>
        </is>
      </c>
      <c r="J27" s="42" t="inlineStr">
        <is>
          <t>Funciona; estadoParpadeo no se reinicia al retirar la alarma (la fase inicial queda arbitraria) y la llamada de reinicio es redundante.</t>
        </is>
      </c>
      <c r="K27" s="42" t="inlineStr">
        <is>
          <t>Comentarios útiles y nombres descriptivos.</t>
        </is>
      </c>
      <c r="L27" s="42" t="inlineStr">
        <is>
          <t>Un solo tiempo literal y lógica breve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B6-9476</t>
        </is>
      </c>
      <c r="B28" s="39" t="inlineStr">
        <is>
          <t>Compila. Falla 1 de 3 pasos del harness (pasos 1;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Func 0: la llamada inicial con IN := estadoParpadeo = FALSE reinicia el TON en cada scan, así que nunca vence y no hay parpadeo (paso 1). IEC 2: compila, pero con múltiples llamadas por scan a la misma instancia.</t>
        </is>
      </c>
      <c r="J28" s="42" t="inlineStr">
        <is>
          <t>La llamada inicial reinicia el TON en cada scan y contradice la rama que lo activa; el temporizador nunca vence.</t>
        </is>
      </c>
      <c r="K28" s="42" t="inlineStr">
        <is>
          <t>El comentario 'Inicialización del temporizador' rotula una llamada que no inicializa.</t>
        </is>
      </c>
      <c r="L28" s="42" t="inlineStr">
        <is>
          <t>Varias llamadas acopladas a la misma instancia; cambios frágiles.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B6-1094</t>
        </is>
      </c>
      <c r="B29" s="39" t="inlineStr">
        <is>
          <t>Compila. Pasa los 3 pasos del harness.</t>
        </is>
      </c>
      <c r="C29" s="40" t="n">
        <v>3</v>
      </c>
      <c r="D29" s="41" t="n">
        <v>2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Pasa todo; IEC 2: compila; usa el TON autorreiniciado, pero añade una segunda llamada de reinicio redundante a la misma instancia.</t>
        </is>
      </c>
      <c r="J29" s="42" t="inlineStr">
        <is>
          <t>TON autorreiniciado con reinicio completo del estado al retirar la alarma; la llamada de reinicio extra es inocua.</t>
        </is>
      </c>
      <c r="K29" s="42" t="inlineStr">
        <is>
          <t>Comentarios útiles y nombres descriptivos.</t>
        </is>
      </c>
      <c r="L29" s="42" t="inlineStr">
        <is>
          <t>Un solo tiempo literal y lógica breve sin duplicación.</t>
        </is>
      </c>
      <c r="M29" s="42" t="n"/>
      <c r="N29" s="40">
        <f>IF(COUNT(C29:G29)=5,"Completa","Falta")</f>
        <v/>
      </c>
    </row>
    <row r="30"/>
  </sheetData>
  <dataValidations count="3">
    <dataValidation sqref="C6:C7 C11:C12 C17 C19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B7 — Selector manual/automático (POU a elección) (Basico)</t>
        </is>
      </c>
    </row>
    <row r="2" ht="15" customHeight="1" s="22">
      <c r="A2" s="33" t="inlineStr">
        <is>
          <t>Lee cada respuesta por su código en respuestas/Respuestas_B7.html.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B7-9815</t>
        </is>
      </c>
      <c r="B6" s="39" t="inlineStr">
        <is>
          <t>Compila. Pasa los 10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3</v>
      </c>
      <c r="H6" s="40">
        <f>IF(COUNT(C6:G6)=5,SUM(C6:G6),"")</f>
        <v/>
      </c>
      <c r="I6" s="42" t="inlineStr">
        <is>
          <t>IEC 2: compila; FUNCTION_BLOCK válido pero innecesario para lógica sin memoria (FUNCTION sería lo idiomático).</t>
        </is>
      </c>
      <c r="J6" s="42" t="inlineStr">
        <is>
          <t>Selección auto/manual completa para todas las combinaciones, salida asignada en cada ciclo, sin memoria ni estados muertos.</t>
        </is>
      </c>
      <c r="K6" s="42" t="inlineStr">
        <is>
          <t>Nombres descriptivos y comentarios útiles pero breves; no explican el porqué del diseño.</t>
        </is>
      </c>
      <c r="L6" s="42" t="inlineStr">
        <is>
          <t>Sin valores mágicos; POU reutilizable parametrizada por entradas, sin duplicación.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B7-2790</t>
        </is>
      </c>
      <c r="B7" s="39" t="inlineStr">
        <is>
          <t>Compila. Pasa los 10 pasos del harness.</t>
        </is>
      </c>
      <c r="C7" s="40" t="n">
        <v>3</v>
      </c>
      <c r="D7" s="41" t="n">
        <v>2</v>
      </c>
      <c r="E7" s="41" t="n">
        <v>3</v>
      </c>
      <c r="F7" s="41" t="n">
        <v>2</v>
      </c>
      <c r="G7" s="41" t="n">
        <v>3</v>
      </c>
      <c r="H7" s="40">
        <f>IF(COUNT(C7:G7)=5,SUM(C7:G7),"")</f>
        <v/>
      </c>
      <c r="I7" s="42" t="inlineStr">
        <is>
          <t>IEC 2: compila; FUNCTION_BLOCK válido pero innecesario para lógica sin memoria (FUNCTION sería lo idiomático).</t>
        </is>
      </c>
      <c r="J7" s="42" t="inlineStr">
        <is>
          <t>Selección auto/manual completa para todas las combinaciones, salida asignada en cada ciclo, sin memoria ni estados muertos.</t>
        </is>
      </c>
      <c r="K7" s="42" t="inlineStr">
        <is>
          <t>Nombres descriptivos y comentarios útiles pero breves; no explican el porqué del diseño.</t>
        </is>
      </c>
      <c r="L7" s="42" t="inlineStr">
        <is>
          <t>Sin valores mágicos; POU reutilizable parametrizada por entradas, sin duplicación.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B7-2011</t>
        </is>
      </c>
      <c r="B8" s="39" t="inlineStr">
        <is>
          <t>Compila. Pasa los 10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3</v>
      </c>
      <c r="H8" s="40">
        <f>IF(COUNT(C8:G8)=5,SUM(C8:G8),"")</f>
        <v/>
      </c>
      <c r="I8" s="42" t="inlineStr">
        <is>
          <t>IEC 3: FUNCTION con VAR_INPUT y retorno BOOL, POU idiomática para lógica combinacional sin memoria.</t>
        </is>
      </c>
      <c r="J8" s="42" t="inlineStr">
        <is>
          <t>Selección auto/manual completa para todas las combinaciones, salida asignada en cada ciclo, sin memoria ni estados muertos.</t>
        </is>
      </c>
      <c r="K8" s="42" t="inlineStr">
        <is>
          <t>Nombres descriptivos y comentarios que justifican el diseño (ausencia de memoria / elección de FUNCTION).</t>
        </is>
      </c>
      <c r="L8" s="42" t="inlineStr">
        <is>
          <t>Sin valores mágicos; POU reutilizable parametrizada por entradas, sin duplicación.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B7-9657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3</v>
      </c>
      <c r="H9" s="40">
        <f>IF(COUNT(C9:G9)=5,SUM(C9:G9),"")</f>
        <v/>
      </c>
      <c r="I9" s="42" t="inlineStr">
        <is>
          <t>IEC 3: FUNCTION con VAR_INPUT y retorno BOOL, POU idiomática para lógica combinacional sin memoria.</t>
        </is>
      </c>
      <c r="J9" s="42" t="inlineStr">
        <is>
          <t>Selección auto/manual completa para todas las combinaciones, salida asignada en cada ciclo, sin memoria ni estados muertos.</t>
        </is>
      </c>
      <c r="K9" s="42" t="inlineStr">
        <is>
          <t>Nombres descriptivos y comentarios útiles pero breves; no explican el porqué del diseño.</t>
        </is>
      </c>
      <c r="L9" s="42" t="inlineStr">
        <is>
          <t>Sin valores mágicos; POU reutilizable parametrizada por entradas, sin duplicación.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B7-9128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3</v>
      </c>
      <c r="H10" s="40">
        <f>IF(COUNT(C10:G10)=5,SUM(C10:G10),"")</f>
        <v/>
      </c>
      <c r="I10" s="42" t="inlineStr">
        <is>
          <t>IEC 3: FUNCTION con VAR_INPUT y retorno BOOL, POU idiomática para lógica combinacional sin memoria.</t>
        </is>
      </c>
      <c r="J10" s="42" t="inlineStr">
        <is>
          <t>Selección auto/manual completa para todas las combinaciones, salida asignada en cada ciclo, sin memoria ni estados muertos.</t>
        </is>
      </c>
      <c r="K10" s="42" t="inlineStr">
        <is>
          <t>Nombres descriptivos y comentarios útiles pero breves; no explican el porqué del diseño.</t>
        </is>
      </c>
      <c r="L10" s="42" t="inlineStr">
        <is>
          <t>Sin valores mágicos; POU reutilizable parametrizada por entradas, sin duplicación.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B7-4683</t>
        </is>
      </c>
      <c r="B11" s="39" t="inlineStr">
        <is>
          <t>Compila. Pasa los 10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3</v>
      </c>
      <c r="H11" s="40">
        <f>IF(COUNT(C11:G11)=5,SUM(C11:G11),"")</f>
        <v/>
      </c>
      <c r="I11" s="42" t="inlineStr">
        <is>
          <t>IEC 2: compila; FUNCTION_BLOCK válido pero innecesario para lógica sin memoria (FUNCTION sería lo idiomático).</t>
        </is>
      </c>
      <c r="J11" s="42" t="inlineStr">
        <is>
          <t>Selección auto/manual completa para todas las combinaciones, salida asignada en cada ciclo, sin memoria ni estados muertos.</t>
        </is>
      </c>
      <c r="K11" s="42" t="inlineStr">
        <is>
          <t>Nombres descriptivos y comentarios útiles pero breves; no explican el porqué del diseño.</t>
        </is>
      </c>
      <c r="L11" s="42" t="inlineStr">
        <is>
          <t>Sin valores mágicos; POU reutilizable parametrizada por entradas, sin duplicación.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B7-2454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3</v>
      </c>
      <c r="H12" s="40">
        <f>IF(COUNT(C12:G12)=5,SUM(C12:G12),"")</f>
        <v/>
      </c>
      <c r="I12" s="42" t="inlineStr">
        <is>
          <t>IEC 3: FUNCTION con VAR_INPUT y retorno BOOL, POU idiomática para lógica combinacional sin memoria.</t>
        </is>
      </c>
      <c r="J12" s="42" t="inlineStr">
        <is>
          <t>Selección auto/manual completa para todas las combinaciones, salida asignada en cada ciclo, sin memoria ni estados muertos.</t>
        </is>
      </c>
      <c r="K12" s="42" t="inlineStr">
        <is>
          <t>Nombres descriptivos y comentarios que justifican el diseño (ausencia de memoria / elección de FUNCTION).</t>
        </is>
      </c>
      <c r="L12" s="42" t="inlineStr">
        <is>
          <t>Sin valores mágicos; POU reutilizable parametrizada por entradas,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B7-5501</t>
        </is>
      </c>
      <c r="B13" s="39" t="inlineStr">
        <is>
          <t>Compila. Pasa los 10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3</v>
      </c>
      <c r="H13" s="40">
        <f>IF(COUNT(C13:G13)=5,SUM(C13:G13),"")</f>
        <v/>
      </c>
      <c r="I13" s="42" t="inlineStr">
        <is>
          <t>IEC 3: FUNCTION con VAR_INPUT y retorno BOOL, POU idiomática para lógica combinacional sin memoria.</t>
        </is>
      </c>
      <c r="J13" s="42" t="inlineStr">
        <is>
          <t>Selección auto/manual completa para todas las combinaciones, salida asignada en cada ciclo, sin memoria ni estados muertos.</t>
        </is>
      </c>
      <c r="K13" s="42" t="inlineStr">
        <is>
          <t>Nombres descriptivos y comentarios que justifican el diseño (ausencia de memoria / elección de FUNCTION).</t>
        </is>
      </c>
      <c r="L13" s="42" t="inlineStr">
        <is>
          <t>Sin valores mágicos; POU reutilizable parametrizada por entradas, sin duplicación.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B7-1125</t>
        </is>
      </c>
      <c r="B14" s="39" t="inlineStr">
        <is>
          <t>Compila. Pasa los 10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3</v>
      </c>
      <c r="H14" s="40">
        <f>IF(COUNT(C14:G14)=5,SUM(C14:G14),"")</f>
        <v/>
      </c>
      <c r="I14" s="42" t="inlineStr">
        <is>
          <t>IEC 2: compila; FUNCTION_BLOCK válido pero innecesario para lógica sin memoria (FUNCTION sería lo idiomático).</t>
        </is>
      </c>
      <c r="J14" s="42" t="inlineStr">
        <is>
          <t>Selección auto/manual completa para todas las combinaciones, salida asignada en cada ciclo, sin memoria ni estados muertos.</t>
        </is>
      </c>
      <c r="K14" s="42" t="inlineStr">
        <is>
          <t>Nombres descriptivos y comentarios útiles pero breves; no explican el porqué del diseño.</t>
        </is>
      </c>
      <c r="L14" s="42" t="inlineStr">
        <is>
          <t>Sin valores mágicos; POU reutilizable parametrizada por entradas, sin duplicación.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B7-3058</t>
        </is>
      </c>
      <c r="B15" s="39" t="inlineStr">
        <is>
          <t>Compila. Pasa los 10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IEC 3: FUNCTION con VAR_INPUT y retorno BOOL, POU idiomática para lógica combinacional sin memoria.</t>
        </is>
      </c>
      <c r="J15" s="42" t="inlineStr">
        <is>
          <t>Selección auto/manual completa para todas las combinaciones, salida asignada en cada ciclo, sin memoria ni estados muertos.</t>
        </is>
      </c>
      <c r="K15" s="42" t="inlineStr">
        <is>
          <t>Nombres descriptivos y comentarios que justifican el diseño (ausencia de memoria / elección de FUNCTION).</t>
        </is>
      </c>
      <c r="L15" s="42" t="inlineStr">
        <is>
          <t>Sin valores mágicos; POU reutilizable parametrizada por entradas, sin duplicación.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B7-1392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3</v>
      </c>
      <c r="H16" s="40">
        <f>IF(COUNT(C16:G16)=5,SUM(C16:G16),"")</f>
        <v/>
      </c>
      <c r="I16" s="42" t="inlineStr">
        <is>
          <t>IEC 3: FUNCTION con VAR_INPUT y retorno BOOL, POU idiomática para lógica combinacional sin memoria.</t>
        </is>
      </c>
      <c r="J16" s="42" t="inlineStr">
        <is>
          <t>Selección auto/manual completa para todas las combinaciones, salida asignada en cada ciclo, sin memoria ni estados muertos.</t>
        </is>
      </c>
      <c r="K16" s="42" t="inlineStr">
        <is>
          <t>Nombres descriptivos y comentarios útiles pero breves; no explican el porqué del diseño.</t>
        </is>
      </c>
      <c r="L16" s="42" t="inlineStr">
        <is>
          <t>Sin valores mágicos; POU reutilizable parametrizada por entradas, sin duplicación.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B7-8494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3</v>
      </c>
      <c r="H17" s="40">
        <f>IF(COUNT(C17:G17)=5,SUM(C17:G17),"")</f>
        <v/>
      </c>
      <c r="I17" s="42" t="inlineStr">
        <is>
          <t>IEC 3: FUNCTION con VAR_INPUT y retorno BOOL, POU idiomática para lógica combinacional sin memoria.</t>
        </is>
      </c>
      <c r="J17" s="42" t="inlineStr">
        <is>
          <t>Selección auto/manual completa para todas las combinaciones, salida asignada en cada ciclo, sin memoria ni estados muertos.</t>
        </is>
      </c>
      <c r="K17" s="42" t="inlineStr">
        <is>
          <t>Nombres descriptivos y comentarios que justifican el diseño (ausencia de memoria / elección de FUNCTION).</t>
        </is>
      </c>
      <c r="L17" s="42" t="inlineStr">
        <is>
          <t>Sin valores mágicos; POU reutilizable parametrizada por entradas, sin duplicación.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B7-9820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3</v>
      </c>
      <c r="H18" s="40">
        <f>IF(COUNT(C18:G18)=5,SUM(C18:G18),"")</f>
        <v/>
      </c>
      <c r="I18" s="42" t="inlineStr">
        <is>
          <t>IEC 3: FUNCTION con VAR_INPUT y retorno BOOL, POU idiomática para lógica combinacional sin memoria.</t>
        </is>
      </c>
      <c r="J18" s="42" t="inlineStr">
        <is>
          <t>Selección auto/manual completa para todas las combinaciones, salida asignada en cada ciclo, sin memoria ni estados muertos.</t>
        </is>
      </c>
      <c r="K18" s="42" t="inlineStr">
        <is>
          <t>Nombres descriptivos y comentarios que justifican el diseño (ausencia de memoria / elección de FUNCTION).</t>
        </is>
      </c>
      <c r="L18" s="42" t="inlineStr">
        <is>
          <t>Sin valores mágicos; POU reutilizable parametrizada por entradas, sin duplicación.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B7-5108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3</v>
      </c>
      <c r="H19" s="40">
        <f>IF(COUNT(C19:G19)=5,SUM(C19:G19),"")</f>
        <v/>
      </c>
      <c r="I19" s="42" t="inlineStr">
        <is>
          <t>IEC 3: FUNCTION con VAR_INPUT y retorno BOOL, POU idiomática para lógica combinacional sin memoria.</t>
        </is>
      </c>
      <c r="J19" s="42" t="inlineStr">
        <is>
          <t>Selección auto/manual completa para todas las combinaciones, salida asignada en cada ciclo, sin memoria ni estados muertos.</t>
        </is>
      </c>
      <c r="K19" s="42" t="inlineStr">
        <is>
          <t>Nombres descriptivos y comentarios que justifican el diseño (ausencia de memoria / elección de FUNCTION).</t>
        </is>
      </c>
      <c r="L19" s="42" t="inlineStr">
        <is>
          <t>Sin valores mágicos; POU reutilizable parametrizada por entradas, sin duplicación.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B7-1829</t>
        </is>
      </c>
      <c r="B20" s="39" t="inlineStr">
        <is>
          <t>Compila. Pasa los 10 pasos del harness.</t>
        </is>
      </c>
      <c r="C20" s="40" t="n">
        <v>3</v>
      </c>
      <c r="D20" s="41" t="n">
        <v>2</v>
      </c>
      <c r="E20" s="41" t="n">
        <v>3</v>
      </c>
      <c r="F20" s="41" t="n">
        <v>2</v>
      </c>
      <c r="G20" s="41" t="n">
        <v>3</v>
      </c>
      <c r="H20" s="40">
        <f>IF(COUNT(C20:G20)=5,SUM(C20:G20),"")</f>
        <v/>
      </c>
      <c r="I20" s="42" t="inlineStr">
        <is>
          <t>IEC 2: compila; FUNCTION_BLOCK válido pero innecesario para lógica sin memoria (FUNCTION sería lo idiomático).</t>
        </is>
      </c>
      <c r="J20" s="42" t="inlineStr">
        <is>
          <t>Selección auto/manual completa para todas las combinaciones, salida asignada en cada ciclo, sin memoria ni estados muertos.</t>
        </is>
      </c>
      <c r="K20" s="42" t="inlineStr">
        <is>
          <t>Nombres descriptivos y comentarios útiles pero breves; no explican el porqué del diseño.</t>
        </is>
      </c>
      <c r="L20" s="42" t="inlineStr">
        <is>
          <t>Sin valores mágicos; POU reutilizable parametrizada por entradas,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B7-4839</t>
        </is>
      </c>
      <c r="B21" s="39" t="inlineStr">
        <is>
          <t>Compila sola, pero no se pudo simular: declara las entradas donde el harness no puede escribirlas ('modoAuto' no es ninguna entrada de 'SELBOMBA').</t>
        </is>
      </c>
      <c r="C21" s="41" t="n">
        <v>2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1" s="42" t="inlineStr">
        <is>
          <t>Lógica sin contradicciones, pero las 'entradas' son variables locales sin fuente externa, por lo que el interfaz no es coherente con su rol.</t>
        </is>
      </c>
      <c r="K21" s="42" t="inlineStr">
        <is>
          <t>Nombres descriptivos y comentarios útiles que indican el rol de cada variable, pero sin separación E/S real (todo en VAR).</t>
        </is>
      </c>
      <c r="L21" s="42" t="inlineStr">
        <is>
          <t>Sin valores mágicos y cambios localizados, pero PROGRAM con variables internas no es reutilizable como bloque parametrizado.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B7-7130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3</v>
      </c>
      <c r="H22" s="40">
        <f>IF(COUNT(C22:G22)=5,SUM(C22:G22),"")</f>
        <v/>
      </c>
      <c r="I22" s="42" t="inlineStr">
        <is>
          <t>IEC 3: FUNCTION con VAR_INPUT y retorno BOOL, POU idiomática para lógica combinacional sin memoria.</t>
        </is>
      </c>
      <c r="J22" s="42" t="inlineStr">
        <is>
          <t>Selección auto/manual completa para todas las combinaciones, salida asignada en cada ciclo, sin memoria ni estados muertos.</t>
        </is>
      </c>
      <c r="K22" s="42" t="inlineStr">
        <is>
          <t>Nombres descriptivos y comentarios útiles pero breves; no explican el porqué del diseño.</t>
        </is>
      </c>
      <c r="L22" s="42" t="inlineStr">
        <is>
          <t>Sin valores mágicos; POU reutilizable parametrizada por entradas, sin duplicación.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B7-3281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3</v>
      </c>
      <c r="H23" s="40">
        <f>IF(COUNT(C23:G23)=5,SUM(C23:G23),"")</f>
        <v/>
      </c>
      <c r="I23" s="42" t="inlineStr">
        <is>
          <t>IEC 3: FUNCTION con VAR_INPUT y retorno BOOL, POU idiomática para lógica combinacional sin memoria.</t>
        </is>
      </c>
      <c r="J23" s="42" t="inlineStr">
        <is>
          <t>Selección auto/manual completa para todas las combinaciones, salida asignada en cada ciclo, sin memoria ni estados muertos.</t>
        </is>
      </c>
      <c r="K23" s="42" t="inlineStr">
        <is>
          <t>Nombres descriptivos y comentarios que justifican el diseño (ausencia de memoria / elección de FUNCTION).</t>
        </is>
      </c>
      <c r="L23" s="42" t="inlineStr">
        <is>
          <t>Sin valores mágicos; POU reutilizable parametrizada por entradas, sin duplicación.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B7-2340</t>
        </is>
      </c>
      <c r="B24" s="39" t="inlineStr">
        <is>
          <t>Compila sola, pero no se pudo simular: declara las entradas donde el harness no puede escribirlas ('modoAuto' no es ninguna entrada de 'SELBOMBA').</t>
        </is>
      </c>
      <c r="C24" s="41" t="n">
        <v>2</v>
      </c>
      <c r="D24" s="41" t="n">
        <v>2</v>
      </c>
      <c r="E24" s="41" t="n">
        <v>2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4" s="42" t="inlineStr">
        <is>
          <t>Lógica sin contradicciones, pero las 'entradas' son variables locales sin fuente externa, por lo que el interfaz no es coherente con su rol.</t>
        </is>
      </c>
      <c r="K24" s="42" t="inlineStr">
        <is>
          <t>Nombres descriptivos y comentarios útiles que indican el rol de cada variable, pero sin separación E/S real (todo en VAR).</t>
        </is>
      </c>
      <c r="L24" s="42" t="inlineStr">
        <is>
          <t>Sin valores mágicos y cambios localizados, pero PROGRAM con variables internas no es reutilizable como bloque parametrizado.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B7-9455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3</v>
      </c>
      <c r="H25" s="40">
        <f>IF(COUNT(C25:G25)=5,SUM(C25:G25),"")</f>
        <v/>
      </c>
      <c r="I25" s="42" t="inlineStr">
        <is>
          <t>IEC 3: FUNCTION con VAR_INPUT y retorno BOOL, POU idiomática para lógica combinacional sin memoria.</t>
        </is>
      </c>
      <c r="J25" s="42" t="inlineStr">
        <is>
          <t>Selección auto/manual completa para todas las combinaciones, salida asignada en cada ciclo, sin memoria ni estados muertos.</t>
        </is>
      </c>
      <c r="K25" s="42" t="inlineStr">
        <is>
          <t>Nombres descriptivos y comentarios que justifican el diseño (ausencia de memoria / elección de FUNCTION).</t>
        </is>
      </c>
      <c r="L25" s="42" t="inlineStr">
        <is>
          <t>Sin valores mágicos; POU reutilizable parametrizada por entradas,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B7-4620</t>
        </is>
      </c>
      <c r="B26" s="39" t="inlineStr">
        <is>
          <t>Compila sola, pero no se pudo simular: declara las entradas donde el harness no puede escribirlas ('modoAuto' no es ninguna entrada de 'SELBOMBA').</t>
        </is>
      </c>
      <c r="C26" s="41" t="n">
        <v>2</v>
      </c>
      <c r="D26" s="41" t="n">
        <v>2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6" s="42" t="inlineStr">
        <is>
          <t>Lógica sin contradicciones, pero las 'entradas' son variables locales sin fuente externa, por lo que el interfaz no es coherente con su rol.</t>
        </is>
      </c>
      <c r="K26" s="42" t="inlineStr">
        <is>
          <t>Nombres descriptivos y comentarios útiles que indican el rol de cada variable, pero sin separación E/S real (todo en VAR).</t>
        </is>
      </c>
      <c r="L26" s="42" t="inlineStr">
        <is>
          <t>Sin valores mágicos y cambios localizados, pero PROGRAM con variables internas no es reutilizable como bloque parametrizado.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B7-4833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3</v>
      </c>
      <c r="H27" s="40">
        <f>IF(COUNT(C27:G27)=5,SUM(C27:G27),"")</f>
        <v/>
      </c>
      <c r="I27" s="42" t="inlineStr">
        <is>
          <t>IEC 3: FUNCTION con VAR_INPUT y retorno BOOL, POU idiomática para lógica combinacional sin memoria.</t>
        </is>
      </c>
      <c r="J27" s="42" t="inlineStr">
        <is>
          <t>Selección auto/manual completa para todas las combinaciones, salida asignada en cada ciclo, sin memoria ni estados muertos.</t>
        </is>
      </c>
      <c r="K27" s="42" t="inlineStr">
        <is>
          <t>Nombres descriptivos y comentarios útiles pero breves; no explican el porqué del diseño.</t>
        </is>
      </c>
      <c r="L27" s="42" t="inlineStr">
        <is>
          <t>Sin valores mágicos; POU reutilizable parametrizada por entradas,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B7-3239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3</v>
      </c>
      <c r="H28" s="40">
        <f>IF(COUNT(C28:G28)=5,SUM(C28:G28),"")</f>
        <v/>
      </c>
      <c r="I28" s="42" t="inlineStr">
        <is>
          <t>IEC 3: FUNCTION con VAR_INPUT y retorno BOOL, POU idiomática para lógica combinacional sin memoria.</t>
        </is>
      </c>
      <c r="J28" s="42" t="inlineStr">
        <is>
          <t>Selección auto/manual completa para todas las combinaciones, salida asignada en cada ciclo, sin memoria ni estados muertos.</t>
        </is>
      </c>
      <c r="K28" s="42" t="inlineStr">
        <is>
          <t>Nombres descriptivos y comentarios útiles pero breves; no explican el porqué del diseño.</t>
        </is>
      </c>
      <c r="L28" s="42" t="inlineStr">
        <is>
          <t>Sin valores mágicos; POU reutilizable parametrizada por entradas, sin duplicación.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B7-6425</t>
        </is>
      </c>
      <c r="B29" s="39" t="inlineStr">
        <is>
          <t>Compila sola, pero no se pudo simular: declara las entradas donde el harness no puede escribirlas ('modoAuto' no es ninguna entrada de 'SELBOMBA').</t>
        </is>
      </c>
      <c r="C29" s="41" t="n">
        <v>2</v>
      </c>
      <c r="D29" s="41" t="n">
        <v>2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9" s="42" t="inlineStr">
        <is>
          <t>Lógica sin contradicciones, pero las 'entradas' son variables locales sin fuente externa, por lo que el interfaz no es coherente con su rol.</t>
        </is>
      </c>
      <c r="K29" s="42" t="inlineStr">
        <is>
          <t>Nombres descriptivos y comentarios útiles que indican el rol de cada variable, pero sin separación E/S real (todo en VAR).</t>
        </is>
      </c>
      <c r="L29" s="42" t="inlineStr">
        <is>
          <t>Sin valores mágicos y cambios localizados, pero PROGRAM con variables internas no es reutilizable como bloque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21 C24 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B8 — Conteo de eventos por flanco (Basico)</t>
        </is>
      </c>
    </row>
    <row r="2" ht="15" customHeight="1" s="22">
      <c r="A2" s="33" t="inlineStr">
        <is>
          <t>Lee cada respuesta por su código en respuestas/Respuestas_B8.html.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B8-2855</t>
        </is>
      </c>
      <c r="B6" s="39" t="inlineStr">
        <is>
          <t>Compila. Pasa los 9 pasos del harness.</t>
        </is>
      </c>
      <c r="C6" s="40" t="n">
        <v>3</v>
      </c>
      <c r="D6" s="41" t="n">
        <v>2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2: compila; declaraciones y tipos correctos, pero el flanco se detecta a mano en lugar de con R_TRIG estándar.</t>
        </is>
      </c>
      <c r="J6" s="42" t="inlineStr">
        <is>
          <t>Reset con prioridad, pero la memoria de flanco se congela durante el reset y puede generar o perder un flanco al soltarlo.</t>
        </is>
      </c>
      <c r="K6" s="42" t="inlineStr">
        <is>
          <t>Nombres descriptivos y secciones ordenadas con comentarios útiles; detección de flanco manual sin modularizar.</t>
        </is>
      </c>
      <c r="L6" s="42" t="inlineStr">
        <is>
          <t>Umbral 5 como literal en un único punto; cambio localizado pero no declarado como constante ni parámetro.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B8-2057</t>
        </is>
      </c>
      <c r="B7" s="39" t="inlineStr">
        <is>
          <t>Compila. Falla 7 de 9 pasos del harness (pasos 1,2,3,4,5,6,8;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Func 0: el bloque 'inicialización' copia puertaAbierta en prev cuando prev es FALSE, anulando todo flanco; no cuenta en el caso nominal (falla 7/9 pasos). IEC 2: compila con tipos correctos y flanco manual.</t>
        </is>
      </c>
      <c r="J7" s="42" t="inlineStr">
        <is>
          <t>Condición contradictoria: el bloque inicial iguala prev a la entrada antes de comparar, por lo que el flanco nunca se detecta.</t>
        </is>
      </c>
      <c r="K7" s="42" t="inlineStr">
        <is>
          <t>Nombres claros, pero el comentario 'Inicialización de variables' describe un bloque que en realidad rompe la lógica.</t>
        </is>
      </c>
      <c r="L7" s="42" t="inlineStr">
        <is>
          <t>Umbral literal y un bloque redundante/erróneo que obliga a reestructurar la detección de flanco para corregirlo.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B8-3959</t>
        </is>
      </c>
      <c r="B8" s="39" t="inlineStr">
        <is>
          <t>Compila. Pasa los 9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 3: compila; usa R_TRIG estándar bien instanciado dentro de un FUNCTION_BLOCK con tipos correctos.</t>
        </is>
      </c>
      <c r="J8" s="42" t="inlineStr">
        <is>
          <t>Reset con prioridad (IF/ELSIF), flanco por R_TRIG evaluado cada ciclo y aviso derivado del contador: sin estados espurios tras reset.</t>
        </is>
      </c>
      <c r="K8" s="42" t="inlineStr">
        <is>
          <t>Nombres descriptivos y comentarios correctos, pero solo describen qué hace cada línea.</t>
        </is>
      </c>
      <c r="L8" s="42" t="inlineStr">
        <is>
          <t>Umbral 5 como literal en un único punto; cambio localizado pero no declarado como constante ni parámetro.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B8-6962</t>
        </is>
      </c>
      <c r="B9" s="39" t="inlineStr">
        <is>
          <t>Compila. Pasa los 9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2: compila; declaraciones y tipos correctos, pero el flanco se detecta a mano en lugar de con R_TRIG estándar.</t>
        </is>
      </c>
      <c r="J9" s="42" t="inlineStr">
        <is>
          <t>Reset con prioridad, memoria de flanco actualizada siempre (incluso en reset) y aviso coherente con el contador; sin estados muertos.</t>
        </is>
      </c>
      <c r="K9" s="42" t="inlineStr">
        <is>
          <t>Nombres descriptivos y comentarios útiles, aunque el bloque de reset está rotulado como 'Inicialización'.</t>
        </is>
      </c>
      <c r="L9" s="42" t="inlineStr">
        <is>
          <t>Umbral 5 como literal en un único punto; cambio localizado pero no declarado como constante ni parámetro.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B8-4908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IEC 3: compila; usa R_TRIG estándar bien instanciado dentro de un FUNCTION_BLOCK con tipos correctos.</t>
        </is>
      </c>
      <c r="J10" s="42" t="inlineStr">
        <is>
          <t>Reset con prioridad (IF/ELSIF), flanco por R_TRIG evaluado cada ciclo y aviso derivado del contador: sin estados espurios tras reset.</t>
        </is>
      </c>
      <c r="K10" s="42" t="inlineStr">
        <is>
          <t>Uso de R_TRIG estándar como módulo y comentarios que explican el porqué (prioridad del reset, conteo solo en transición).</t>
        </is>
      </c>
      <c r="L10" s="42" t="inlineStr">
        <is>
          <t>Umbral 5 como literal en un único punto; cambio localizado pero no declarado como constante ni parámetro.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B8-3439</t>
        </is>
      </c>
      <c r="B11" s="39" t="inlineStr">
        <is>
          <t>Compila. Pasa los 9 pasos del harness.</t>
        </is>
      </c>
      <c r="C11" s="40" t="n">
        <v>3</v>
      </c>
      <c r="D11" s="41" t="n">
        <v>2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2: compila; declaraciones y tipos correctos, pero el flanco se detecta a mano en lugar de con R_TRIG estándar.</t>
        </is>
      </c>
      <c r="J11" s="42" t="inlineStr">
        <is>
          <t>El reset no excluye el conteo: pone prev:=FALSE y en el mismo ciclo cuenta si la puerta está abierta, dejando n=1 con reset activo.</t>
        </is>
      </c>
      <c r="K11" s="42" t="inlineStr">
        <is>
          <t>Nombres descriptivos y comentarios útiles, aunque el bloque de reset está rotulado como 'Inicialización'.</t>
        </is>
      </c>
      <c r="L11" s="42" t="inlineStr">
        <is>
          <t>Umbral 5 como literal en un único punto; cambio localizado pero no declarado como constante ni parámetro.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B8-1092</t>
        </is>
      </c>
      <c r="B12" s="39" t="inlineStr">
        <is>
          <t>Compila. Pasa los 9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2: compila; declaraciones y tipos correctos, pero el flanco se detecta a mano en lugar de con R_TRIG estándar.</t>
        </is>
      </c>
      <c r="J12" s="42" t="inlineStr">
        <is>
          <t>Reset con prioridad, memoria de flanco actualizada siempre (incluso en reset) y aviso coherente con el contador; sin estados muertos.</t>
        </is>
      </c>
      <c r="K12" s="42" t="inlineStr">
        <is>
          <t>Nombres descriptivos y secciones ordenadas con comentarios útiles; detección de flanco manual sin modularizar.</t>
        </is>
      </c>
      <c r="L12" s="42" t="inlineStr">
        <is>
          <t>Umbral 5 como literal en un único punto; cambio localizado pero no declarado como constante ni parámetro.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B8-3080</t>
        </is>
      </c>
      <c r="B13" s="39" t="inlineStr">
        <is>
          <t>Compila. Pasa los 9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 2: compila; declaraciones y tipos correctos, pero el flanco se detecta a mano en lugar de con R_TRIG estándar.</t>
        </is>
      </c>
      <c r="J13" s="42" t="inlineStr">
        <is>
          <t>Reset con prioridad, memoria de flanco actualizada siempre (incluso en reset) y aviso coherente con el contador; sin estados muertos.</t>
        </is>
      </c>
      <c r="K13" s="42" t="inlineStr">
        <is>
          <t>Nombres descriptivos y comentarios útiles, aunque el bloque de reset está rotulado como 'Inicialización'.</t>
        </is>
      </c>
      <c r="L13" s="42" t="inlineStr">
        <is>
          <t>Umbral 5 como literal en un único punto; cambio localizado pero no declarado como constante ni parámetro.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B8-6589</t>
        </is>
      </c>
      <c r="B14" s="39" t="inlineStr">
        <is>
          <t>Compila. Pasa los 9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IEC 3: compila; usa R_TRIG estándar bien instanciado dentro de un FUNCTION_BLOCK con tipos correctos.</t>
        </is>
      </c>
      <c r="J14" s="42" t="inlineStr">
        <is>
          <t>Reset con prioridad (IF/ELSIF), flanco por R_TRIG evaluado cada ciclo y aviso derivado del contador: sin estados espurios tras reset.</t>
        </is>
      </c>
      <c r="K14" s="42" t="inlineStr">
        <is>
          <t>Uso de R_TRIG estándar como módulo y comentarios que explican el porqué (prioridad del reset, conteo solo en transición).</t>
        </is>
      </c>
      <c r="L14" s="42" t="inlineStr">
        <is>
          <t>Umbral 5 como literal en un único punto; cambio localizado pero no declarado como constante ni parámetro.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B8-2238</t>
        </is>
      </c>
      <c r="B15" s="39" t="inlineStr">
        <is>
          <t>Compila. Pasa los 9 pasos del harness.</t>
        </is>
      </c>
      <c r="C15" s="40" t="n">
        <v>3</v>
      </c>
      <c r="D15" s="41" t="n">
        <v>2</v>
      </c>
      <c r="E15" s="41" t="n">
        <v>2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2: compila; declaraciones y tipos correctos, pero el flanco se detecta a mano en lugar de con R_TRIG estándar.</t>
        </is>
      </c>
      <c r="J15" s="42" t="inlineStr">
        <is>
          <t>Comportamiento correcto con reset prioritario, pero prev:=FALSE en el reset es redundante (se sobrescribe al final del ciclo).</t>
        </is>
      </c>
      <c r="K15" s="42" t="inlineStr">
        <is>
          <t>Nombres descriptivos, separadores y comentarios que explican prioridad del reset y memoria de flanco; flanco manual sin modularizar.</t>
        </is>
      </c>
      <c r="L15" s="42" t="inlineStr">
        <is>
          <t>Umbral 5 como literal en un único punto; cambio localizado pero no declarado como constante ni parámetro.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B8-4457</t>
        </is>
      </c>
      <c r="B16" s="39" t="inlineStr">
        <is>
          <t>Compila. Pasa los 9 pasos del harness.</t>
        </is>
      </c>
      <c r="C16" s="40" t="n">
        <v>3</v>
      </c>
      <c r="D16" s="41" t="n">
        <v>2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2: compila; declaraciones y tipos correctos, pero el flanco se detecta a mano en lugar de con R_TRIG estándar.</t>
        </is>
      </c>
      <c r="J16" s="42" t="inlineStr">
        <is>
          <t>Reset con prioridad, memoria de flanco actualizada siempre (incluso en reset) y aviso coherente con el contador; sin estados muertos.</t>
        </is>
      </c>
      <c r="K16" s="42" t="inlineStr">
        <is>
          <t>Nombres descriptivos y secciones ordenadas con comentarios útiles; detección de flanco manual sin modularizar.</t>
        </is>
      </c>
      <c r="L16" s="42" t="inlineStr">
        <is>
          <t>Umbral 5 como literal en un único punto; cambio localizado pero no declarado como constante ni parámetro.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B8-7031</t>
        </is>
      </c>
      <c r="B17" s="39" t="inlineStr">
        <is>
          <t>Compila. Pasa los 9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 2: compila; declaraciones y tipos correctos, pero el flanco se detecta a mano en lugar de con R_TRIG estándar.</t>
        </is>
      </c>
      <c r="J17" s="42" t="inlineStr">
        <is>
          <t>Reset con prioridad, memoria de flanco actualizada siempre (incluso en reset) y aviso coherente con el contador; sin estados muertos.</t>
        </is>
      </c>
      <c r="K17" s="42" t="inlineStr">
        <is>
          <t>Nombres descriptivos y comentarios útiles, aunque el bloque de reset está rotulado como 'Inicialización'.</t>
        </is>
      </c>
      <c r="L17" s="42" t="inlineStr">
        <is>
          <t>Umbral 5 como literal en un único punto; cambio localizado pero no declarado como constante ni parámetro.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B8-9508</t>
        </is>
      </c>
      <c r="B18" s="39" t="inlineStr">
        <is>
          <t>Compila. Pasa los 9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2: compila; declaraciones y tipos correctos, pero el flanco se detecta a mano en lugar de con R_TRIG estándar.</t>
        </is>
      </c>
      <c r="J18" s="42" t="inlineStr">
        <is>
          <t>Reset y conteo no son excluyentes (un flanco simultáneo con reset suma 1); aviso solo se fija a TRUE y lo limpia el reset, coherente.</t>
        </is>
      </c>
      <c r="K18" s="42" t="inlineStr">
        <is>
          <t>Nombres descriptivos y secciones ordenadas con comentarios útiles; detección de flanco manual sin modularizar.</t>
        </is>
      </c>
      <c r="L18" s="42" t="inlineStr">
        <is>
          <t>Umbral 5 como literal en un único punto; cambio localizado pero no declarado como constante ni parámetro.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B8-3862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 3: compila; usa R_TRIG estándar bien instanciado dentro de un FUNCTION_BLOCK con tipos correctos.</t>
        </is>
      </c>
      <c r="J19" s="42" t="inlineStr">
        <is>
          <t>Reset con prioridad (IF/ELSIF), flanco por R_TRIG evaluado cada ciclo y aviso derivado del contador: sin estados espurios tras reset.</t>
        </is>
      </c>
      <c r="K19" s="42" t="inlineStr">
        <is>
          <t>Nombres descriptivos y comentarios correctos, pero solo describen qué hace cada línea.</t>
        </is>
      </c>
      <c r="L19" s="42" t="inlineStr">
        <is>
          <t>Umbral 5 como literal en un único punto; cambio localizado pero no declarado como constante ni parámetro.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B8-6907</t>
        </is>
      </c>
      <c r="B20" s="39" t="inlineStr">
        <is>
          <t>Compila. Pasa los 9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 3: compila; usa el contador estándar CTU (CU por flanco, RESET, PV) de forma idiomática.</t>
        </is>
      </c>
      <c r="J20" s="42" t="inlineStr">
        <is>
          <t>CTU resuelve flanco, prioridad del reset y umbral de forma consistente; sin estados espurios ni desbordamiento.</t>
        </is>
      </c>
      <c r="K20" s="42" t="inlineStr">
        <is>
          <t>Muy compacto y legible gracias al CTU, pero con un único comentario general.</t>
        </is>
      </c>
      <c r="L20" s="42" t="inlineStr">
        <is>
          <t>Umbral pasado como PV := 5 literal en un único punto; cambio localizado pero no declarado como constante.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B8-1323</t>
        </is>
      </c>
      <c r="B21" s="39" t="inlineStr">
        <is>
          <t>Compila. Pasa los 9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 2: compila; declaraciones y tipos correctos, pero el flanco se detecta a mano en lugar de con R_TRIG estándar.</t>
        </is>
      </c>
      <c r="J21" s="42" t="inlineStr">
        <is>
          <t>Reset con prioridad, memoria de flanco actualizada siempre (incluso en reset) y aviso coherente con el contador; sin estados muertos.</t>
        </is>
      </c>
      <c r="K21" s="42" t="inlineStr">
        <is>
          <t>Nombres descriptivos y secciones ordenadas con comentarios útiles; detección de flanco manual sin modularizar.</t>
        </is>
      </c>
      <c r="L21" s="42" t="inlineStr">
        <is>
          <t>Umbral 5 como literal en un único punto; cambio localizado pero no declarado como constante ni parámetro.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B8-4753</t>
        </is>
      </c>
      <c r="B22" s="39" t="inlineStr">
        <is>
          <t>Compila. Pasa los 9 pasos del harness.</t>
        </is>
      </c>
      <c r="C22" s="40" t="n">
        <v>3</v>
      </c>
      <c r="D22" s="41" t="n">
        <v>2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IEC 2: compila; declaraciones y tipos correctos, pero el flanco se detecta a mano en lugar de con R_TRIG estándar.</t>
        </is>
      </c>
      <c r="J22" s="42" t="inlineStr">
        <is>
          <t>Comportamiento correcto con reset prioritario, pero prev:=FALSE en el reset es redundante (se sobrescribe al final del ciclo).</t>
        </is>
      </c>
      <c r="K22" s="42" t="inlineStr">
        <is>
          <t>Nombres descriptivos, separadores y comentarios que explican prioridad del reset y memoria de flanco; flanco manual sin modularizar.</t>
        </is>
      </c>
      <c r="L22" s="42" t="inlineStr">
        <is>
          <t>Umbral 5 como literal en un único punto; cambio localizado pero no declarado como constante ni parámetro.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B8-5019</t>
        </is>
      </c>
      <c r="B23" s="39" t="inlineStr">
        <is>
          <t>Compila. Pasa los 9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IEC 3: compila; usa R_TRIG estándar bien instanciado dentro de un FUNCTION_BLOCK con tipos correctos.</t>
        </is>
      </c>
      <c r="J23" s="42" t="inlineStr">
        <is>
          <t>Reset con prioridad (IF/ELSIF), flanco por R_TRIG evaluado cada ciclo y aviso derivado del contador: sin estados espurios tras reset.</t>
        </is>
      </c>
      <c r="K23" s="42" t="inlineStr">
        <is>
          <t>Uso de R_TRIG estándar como módulo y comentarios que explican el porqué (prioridad del reset, conteo solo en transición).</t>
        </is>
      </c>
      <c r="L23" s="42" t="inlineStr">
        <is>
          <t>Umbral 5 como literal en un único punto; cambio localizado pero no declarado como constante ni parámetro.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B8-3064</t>
        </is>
      </c>
      <c r="B24" s="39" t="inlineStr">
        <is>
          <t>Compila. Pasa los 9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 3: compila; usa R_TRIG estándar bien instanciado dentro de un FUNCTION_BLOCK con tipos correctos.</t>
        </is>
      </c>
      <c r="J24" s="42" t="inlineStr">
        <is>
          <t>Reset con prioridad (IF/ELSIF), flanco por R_TRIG evaluado cada ciclo y aviso derivado del contador: sin estados espurios tras reset.</t>
        </is>
      </c>
      <c r="K24" s="42" t="inlineStr">
        <is>
          <t>Nombres descriptivos y comentarios correctos, pero solo describen qué hace cada línea.</t>
        </is>
      </c>
      <c r="L24" s="42" t="inlineStr">
        <is>
          <t>Umbral 5 como literal en un único punto; cambio localizado pero no declarado como constante ni parámetro.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B8-8512</t>
        </is>
      </c>
      <c r="B25" s="39" t="inlineStr">
        <is>
          <t>Compila. Pasa los 9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2: compila; declaraciones y tipos correctos, pero el flanco se detecta a mano en lugar de con R_TRIG estándar.</t>
        </is>
      </c>
      <c r="J25" s="42" t="inlineStr">
        <is>
          <t>Reset con prioridad, memoria de flanco actualizada siempre (incluso en reset) y aviso coherente con el contador; sin estados muertos.</t>
        </is>
      </c>
      <c r="K25" s="42" t="inlineStr">
        <is>
          <t>Nombres descriptivos y secciones ordenadas con comentarios útiles; detección de flanco manual sin modularizar.</t>
        </is>
      </c>
      <c r="L25" s="42" t="inlineStr">
        <is>
          <t>Umbral 5 como literal en un único punto; cambio localizado pero no declarado como constante ni parámetro.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B8-6800</t>
        </is>
      </c>
      <c r="B26" s="39" t="inlineStr">
        <is>
          <t>Compila. Pasa los 9 pasos del harness.</t>
        </is>
      </c>
      <c r="C26" s="40" t="n">
        <v>3</v>
      </c>
      <c r="D26" s="41" t="n">
        <v>2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 2: compila; declaraciones y tipos correctos, pero el flanco se detecta a mano en lugar de con R_TRIG estándar.</t>
        </is>
      </c>
      <c r="J26" s="42" t="inlineStr">
        <is>
          <t>Correcto con reset prioritario, pero prev:=FALSE es redundante (se sobrescribe) y el aviso solo se fija, sin rama de desactivación propia.</t>
        </is>
      </c>
      <c r="K26" s="42" t="inlineStr">
        <is>
          <t>Nombres y comentarios útiles, pero el comentario 'Evita flanco espurio' atribuye el efecto a una asignación que se sobrescribe.</t>
        </is>
      </c>
      <c r="L26" s="42" t="inlineStr">
        <is>
          <t>Umbral 5 como literal en un único punto; cambio localizado pero no declarado como constante ni parámetro.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B8-9528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IEC 3: compila; usa R_TRIG estándar bien instanciado dentro de un FUNCTION_BLOCK con tipos correctos.</t>
        </is>
      </c>
      <c r="J27" s="42" t="inlineStr">
        <is>
          <t>Reset con prioridad (IF/ELSIF), flanco por R_TRIG evaluado cada ciclo y aviso derivado del contador: sin estados espurios tras reset.</t>
        </is>
      </c>
      <c r="K27" s="42" t="inlineStr">
        <is>
          <t>Uso de R_TRIG estándar como módulo y comentarios que explican el porqué (prioridad del reset, conteo solo en transición).</t>
        </is>
      </c>
      <c r="L27" s="42" t="inlineStr">
        <is>
          <t>Umbral 5 como literal en un único punto; cambio localizado pero no declarado como constante ni parámetro.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B8-3270</t>
        </is>
      </c>
      <c r="B28" s="39" t="inlineStr">
        <is>
          <t>Compila. Pasa los 9 pasos del harness.</t>
        </is>
      </c>
      <c r="C28" s="40" t="n">
        <v>3</v>
      </c>
      <c r="D28" s="41" t="n">
        <v>2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 2: compila; declaraciones y tipos correctos, pero el flanco se detecta a mano en lugar de con R_TRIG estándar.</t>
        </is>
      </c>
      <c r="J28" s="42" t="inlineStr">
        <is>
          <t>Reset con prioridad, memoria de flanco actualizada siempre (incluso en reset) y aviso coherente con el contador; sin estados muertos.</t>
        </is>
      </c>
      <c r="K28" s="42" t="inlineStr">
        <is>
          <t>Nombres descriptivos y secciones ordenadas con comentarios útiles; detección de flanco manual sin modularizar.</t>
        </is>
      </c>
      <c r="L28" s="42" t="inlineStr">
        <is>
          <t>Umbral 5 como literal en un único punto; cambio localizado pero no declarado como constante ni parámetro.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B8-2626</t>
        </is>
      </c>
      <c r="B29" s="39" t="inlineStr">
        <is>
          <t>Compila. Pasa los 9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IEC 3: compila; usa R_TRIG estándar bien instanciado dentro de un FUNCTION_BLOCK con tipos correctos.</t>
        </is>
      </c>
      <c r="J29" s="42" t="inlineStr">
        <is>
          <t>Reset con prioridad (IF/ELSIF), flanco por R_TRIG evaluado cada ciclo y aviso derivado del contador: sin estados espurios tras reset.</t>
        </is>
      </c>
      <c r="K29" s="42" t="inlineStr">
        <is>
          <t>Uso de R_TRIG estándar como módulo y comentarios que explican el porqué (prioridad del reset, conteo solo en transición).</t>
        </is>
      </c>
      <c r="L29" s="42" t="inlineStr">
        <is>
          <t>Umbral 5 como literal en un único punto; cambio localizado pero no declarado como constante ni parámetro.</t>
        </is>
      </c>
      <c r="M29" s="42" t="n"/>
      <c r="N29" s="40">
        <f>IF(COUNT(C29:G29)=5,"Completa","Falta")</f>
        <v/>
      </c>
    </row>
    <row r="30"/>
  </sheetData>
  <dataValidations count="3">
    <dataValidation sqref="C7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I1 — Semáforo con secuencia temporizada (Intermedio)</t>
        </is>
      </c>
    </row>
    <row r="2" ht="15" customHeight="1" s="22">
      <c r="A2" s="33" t="inlineStr">
        <is>
          <t>Lee cada respuesta por su código en respuestas/Respuestas_I1.html.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I1-2135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IEC: TON bien instanciados con reset explicito, tipos TIME correctos y FB adecuado.</t>
        </is>
      </c>
      <c r="J6" s="42" t="inlineStr">
        <is>
          <t>Salidas derivadas del estado (exclusivas), reinicio a verde y del parpadeo al cambiar de modo; sin estados muertos.</t>
        </is>
      </c>
      <c r="K6" s="42" t="inlineStr">
        <is>
          <t>Nombres y comentarios claros por seccion; sin modularizacion adicional.</t>
        </is>
      </c>
      <c r="L6" s="42" t="inlineStr">
        <is>
          <t>Tiempos agrupados en un solo CASE y salidas sin duplicar, aunque son literales en el codigo.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I1-7364</t>
        </is>
      </c>
      <c r="B7" s="39" t="inlineStr">
        <is>
          <t>Compila. Falla 6 de 9 pasos del harness (pasos 0,2,3,6,7,8;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Falla 6 de 9 pasos incluido el reposo y la temporizacion nominal: TON nunca se reinicia y cambiar PT no reinicia la fase; compila con tipos correctos pero uso no idiomatico del TON.</t>
        </is>
      </c>
      <c r="J7" s="42" t="inlineStr">
        <is>
          <t>El TON permanece con IN siempre TRUE, el parpadeo conmuta en cada scan y el estado 0 enciende verde aunque este deshabilitado.</t>
        </is>
      </c>
      <c r="K7" s="42" t="inlineStr">
        <is>
          <t>Estructura CASE reconocible pero comentarios incorrectos ('cada segundo', 'Inicializacion del timer').</t>
        </is>
      </c>
      <c r="L7" s="42" t="inlineStr">
        <is>
          <t>Literales repetidos y asignaciones de luces duplicadas en cada estado.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I1-5111</t>
        </is>
      </c>
      <c r="B8" s="39" t="inlineStr">
        <is>
          <t>Compila. Falla 1 de 9 pasos del harness (pasos 7; numerados desde 0).</t>
        </is>
      </c>
      <c r="C8" s="41" t="n">
        <v>1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Secuencia nominal correcta pero falla el intermitente (paso 7): el TP deja el amarillo apagado solo un scan; compila, pero el TP no se usa correctamente.</t>
        </is>
      </c>
      <c r="J8" s="42" t="inlineStr">
        <is>
          <t>Secuencia y reinicio coherentes, pero la logica de relanzamiento del TP no produce el semiperiodo apagado de 1 s.</t>
        </is>
      </c>
      <c r="K8" s="42" t="inlineStr">
        <is>
          <t>Secciones comentadas y nombres descriptivos, incluido ELSE para estado invalido.</t>
        </is>
      </c>
      <c r="L8" s="42" t="inlineStr">
        <is>
          <t>Tiempos literales dispersos y bloques de salidas repetidos por estado.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I1-7969</t>
        </is>
      </c>
      <c r="B9" s="39" t="inlineStr">
        <is>
          <t>Compila. Falla 7 de 9 pasos del harness (pasos 2,3,4,5,6,7,8; numerados desde 0).</t>
        </is>
      </c>
      <c r="C9" s="41" t="n">
        <v>0</v>
      </c>
      <c r="D9" s="41" t="n">
        <v>2</v>
      </c>
      <c r="E9" s="41" t="n">
        <v>0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7 de 9 pasos: el TP pone Q en TRUE al instante y la secuencia avanza en el primer scan; compila con tipos correctos pero TP mal empleado.</t>
        </is>
      </c>
      <c r="J9" s="42" t="inlineStr">
        <is>
          <t>Las transiciones se disparan con Q del TP al inicio del pulso y los temporizadores nunca se reinician: la secuencia no temporiza.</t>
        </is>
      </c>
      <c r="K9" s="42" t="inlineStr">
        <is>
          <t>Nombres descriptivos y comentarios breves por fase.</t>
        </is>
      </c>
      <c r="L9" s="42" t="inlineStr">
        <is>
          <t>Un TP por fase con literales y logica duplicada.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I1-5434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IEC: R_TRIG y TON estandar bien instanciados, autorreinicio idiomatico del parpadeo.</t>
        </is>
      </c>
      <c r="J10" s="42" t="inlineStr">
        <is>
          <t>Flanco de habilitado reinicia en verde, temporizadores reseteados en cada cambio de modo; estados completos.</t>
        </is>
      </c>
      <c r="K10" s="42" t="inlineStr">
        <is>
          <t>Comentarios utiles que explican resets y modos; estructura ordenada.</t>
        </is>
      </c>
      <c r="L10" s="42" t="inlineStr">
        <is>
          <t>Tiempos literales en cada rama y asignaciones de salidas duplicadas.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I1-7084</t>
        </is>
      </c>
      <c r="B11" s="39" t="inlineStr">
        <is>
          <t>Compila. Pasa los 9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IEC: R_TRIG y TON bien instanciados, PT variable de tipo TIME.</t>
        </is>
      </c>
      <c r="J11" s="42" t="inlineStr">
        <is>
          <t>Separacion de seleccion de tiempo, transicion y salidas; parpadeo y temporizador se reinician correctamente al cambiar de modo.</t>
        </is>
      </c>
      <c r="K11" s="42" t="inlineStr">
        <is>
          <t>Codigo ordenado por secciones comentadas, aunque las declaraciones carecen de comentarios.</t>
        </is>
      </c>
      <c r="L11" s="42" t="inlineStr">
        <is>
          <t>Tiempos centralizados en un unico CASE mediante tiempoFase; transiciones y salidas separadas.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I1-2168</t>
        </is>
      </c>
      <c r="B12" s="39" t="inlineStr">
        <is>
          <t>Compila. Pasa los 9 pasos del harness.</t>
        </is>
      </c>
      <c r="C12" s="40" t="n">
        <v>3</v>
      </c>
      <c r="D12" s="41" t="n">
        <v>3</v>
      </c>
      <c r="E12" s="41" t="n">
        <v>1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IEC: TON bien instanciados con tipos TIME correctos.</t>
        </is>
      </c>
      <c r="J12" s="42" t="inlineStr">
        <is>
          <t>tCiclo no se resetea en modo deshabilitado: al rehabilitar el TON conserva el tiempo transcurrido y acorta el primer verde.</t>
        </is>
      </c>
      <c r="K12" s="42" t="inlineStr">
        <is>
          <t>Comentarios breves por fase y nombres claros; sin modularizacion.</t>
        </is>
      </c>
      <c r="L12" s="42" t="inlineStr">
        <is>
          <t>Literales en cada rama y salidas repetidas en cada estado.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I1-3359</t>
        </is>
      </c>
      <c r="B13" s="39" t="inlineStr">
        <is>
          <t>Compila. Pasa los 9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IEC: oscilador con dos TON y PT variable, construcciones estandar idiomaticas.</t>
        </is>
      </c>
      <c r="J13" s="42" t="inlineStr">
        <is>
          <t>Oscilador 1s/1s correcto, reinicio a verde al habilitar y autorreinicio del TON por transicion; sin estados muertos.</t>
        </is>
      </c>
      <c r="K13" s="42" t="inlineStr">
        <is>
          <t>Secciones comentadas; algunas variables auxiliares (tiempoActual, transicion) sin comentario.</t>
        </is>
      </c>
      <c r="L13" s="42" t="inlineStr">
        <is>
          <t>Tiempos centralizados en un solo CASE con un unico temporizador de secuencia.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I1-8741</t>
        </is>
      </c>
      <c r="B14" s="39" t="inlineStr">
        <is>
          <t>Compila sola, pero no se pudo simular: declara las entradas donde el harness no puede escribirlas ('habilitado' no es ninguna entrada de 'FB_SEMAFORO').</t>
        </is>
      </c>
      <c r="C14" s="41" t="n">
        <v>0</v>
      </c>
      <c r="D14" s="41" t="n">
        <v>1</v>
      </c>
      <c r="E14" s="41" t="n">
        <v>0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No simulable y, leyendo el codigo, el TON se reinicia al inicio de cada scan y nunca vence: queda fijo en verde; entradas/salidas declaradas como VAR, declaracion no conforme.</t>
        </is>
      </c>
      <c r="J14" s="42" t="inlineStr">
        <is>
          <t>La llamada inicial con IN:=FALSE en cada ciclo anula ambos temporizadores; secuencia y parpadeo muertos.</t>
        </is>
      </c>
      <c r="K14" s="42" t="inlineStr">
        <is>
          <t>Comentarios presentes, pero mezcla entradas, salidas e internas en un unico VAR.</t>
        </is>
      </c>
      <c r="L14" s="42" t="inlineStr">
        <is>
          <t>Literales repetidos por estado y logica duplicada.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I1-4990</t>
        </is>
      </c>
      <c r="B15" s="39" t="inlineStr">
        <is>
          <t>Compila. Falla 1 de 9 pasos del harness (pasos 7; numerados desde 0).</t>
        </is>
      </c>
      <c r="C15" s="41" t="n">
        <v>1</v>
      </c>
      <c r="D15" s="41" t="n">
        <v>2</v>
      </c>
      <c r="E15" s="41" t="n">
        <v>1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Secuencia nominal correcta pero falla el intermitente (paso 7): bParpadeoOn conmuta en cada scan mientras Q del TP esta activo; uso incorrecto del TP.</t>
        </is>
      </c>
      <c r="J15" s="42" t="inlineStr">
        <is>
          <t>La conmutacion por nivel (no por flanco) del TP genera parpadeo erratico; resto de la logica coherente con ELSE para estado invalido.</t>
        </is>
      </c>
      <c r="K15" s="42" t="inlineStr">
        <is>
          <t>Secciones bien comentadas y nombres claros.</t>
        </is>
      </c>
      <c r="L15" s="42" t="inlineStr">
        <is>
          <t>Tiempos literales en cada rama y salidas duplicadas.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I1-8830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IEC: TON estandar bien instanciados y reseteados, tipos correctos.</t>
        </is>
      </c>
      <c r="J16" s="42" t="inlineStr">
        <is>
          <t>Reset de todos los temporizadores y del estado al cambiar de modo, ELSE ante estado invalido; salidas exclusivas.</t>
        </is>
      </c>
      <c r="K16" s="42" t="inlineStr">
        <is>
          <t>Muy bien seccionado y comentado; los comentarios describen el que mas que el porque.</t>
        </is>
      </c>
      <c r="L16" s="42" t="inlineStr">
        <is>
          <t>Tres temporizadores con logica duplicada por fase y tiempos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I1-7322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IEC: TON bien instanciados con reset y rearranque explicitos.</t>
        </is>
      </c>
      <c r="J17" s="42" t="inlineStr">
        <is>
          <t>Reinicio completo al cambiar de modo, ELSE para estado invalido, salidas mutuamente exclusivas.</t>
        </is>
      </c>
      <c r="K17" s="42" t="inlineStr">
        <is>
          <t>Bien seccionado y comentado, nombres descriptivos.</t>
        </is>
      </c>
      <c r="L17" s="42" t="inlineStr">
        <is>
          <t>Un TON por fase con codigo repetido y tiempos literales.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I1-3250</t>
        </is>
      </c>
      <c r="B18" s="39" t="inlineStr">
        <is>
          <t>Compila. Pasa los 9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IEC: TON y oscilador estandar, asignaciones booleanas idiomaticas.</t>
        </is>
      </c>
      <c r="J18" s="42" t="inlineStr">
        <is>
          <t>Transiciones explicitas, temporizadores habilitados por estado y salidas combinacionales exclusivas; reinicio a verde garantizado.</t>
        </is>
      </c>
      <c r="K18" s="42" t="inlineStr">
        <is>
          <t>Compacto y con secciones comentadas; sin modularizacion adicional.</t>
        </is>
      </c>
      <c r="L18" s="42" t="inlineStr">
        <is>
          <t>Cada tiempo aparece una sola vez en un bloque, sin duplicacion de salidas.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I1-3464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IEC: R_TRIG y TON bien instanciados con PT variable.</t>
        </is>
      </c>
      <c r="J19" s="42" t="inlineStr">
        <is>
          <t>Flanco de habilitacion reinicia secuencia y parpadeo; resetTimer garantiza el rearranque del TON en cada fase.</t>
        </is>
      </c>
      <c r="K19" s="42" t="inlineStr">
        <is>
          <t>Comentarios utiles en el codigo, pero las declaraciones no estan comentadas.</t>
        </is>
      </c>
      <c r="L19" s="42" t="inlineStr">
        <is>
          <t>Tiempos asignados una vez por estado en un CASE y un unico temporizador de secuencia.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I1-8420</t>
        </is>
      </c>
      <c r="B20" s="39" t="inlineStr">
        <is>
          <t>Compila. Falla 8 de 9 pasos del harness (pasos 1,2,3,4,5,6,7,8; numerados desde 0).</t>
        </is>
      </c>
      <c r="C20" s="41" t="n">
        <v>0</v>
      </c>
      <c r="D20" s="41" t="n">
        <v>2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Falla 8 de 9 pasos: el TON se reinicia con IN:=FALSE en cada scan y nunca vence; compila con tipos correctos pero uso no idiomatico.</t>
        </is>
      </c>
      <c r="J20" s="42" t="inlineStr">
        <is>
          <t>El reset incondicional del temporizador bloquea toda la secuencia; un solo TON compartido para fases e intermitente.</t>
        </is>
      </c>
      <c r="K20" s="42" t="inlineStr">
        <is>
          <t>Comentarios presentes pero el de 'inicializacion' es incorrecto; estructura basica.</t>
        </is>
      </c>
      <c r="L20" s="42" t="inlineStr">
        <is>
          <t>Literales repetidos y bloques duplicados por estado.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I1-5295</t>
        </is>
      </c>
      <c r="B21" s="39" t="inlineStr">
        <is>
          <t>Compila. Falla 7 de 9 pasos del harness (pasos 2,3,4,5,6,7,8; numerados desde 0).</t>
        </is>
      </c>
      <c r="C21" s="41" t="n">
        <v>0</v>
      </c>
      <c r="D21" s="41" t="n">
        <v>2</v>
      </c>
      <c r="E21" s="41" t="n">
        <v>0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Falla 7 de 9 pasos: el TP activa Q al inicio y la secuencia avanza en el primer scan; TP mal empleado.</t>
        </is>
      </c>
      <c r="J21" s="42" t="inlineStr">
        <is>
          <t>Transiciones con Q del TP al arrancar el pulso y temporizadores sin reinicio: no temporiza.</t>
        </is>
      </c>
      <c r="K21" s="42" t="inlineStr">
        <is>
          <t>Nombres descriptivos y comentarios breves por fase.</t>
        </is>
      </c>
      <c r="L21" s="42" t="inlineStr">
        <is>
          <t>Un TP por fase con literales y logica duplicada.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I1-8541</t>
        </is>
      </c>
      <c r="B22" s="39" t="inlineStr">
        <is>
          <t>Compila. Pasa los 9 pasos del harness.</t>
        </is>
      </c>
      <c r="C22" s="40" t="n">
        <v>3</v>
      </c>
      <c r="D22" s="41" t="n">
        <v>3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IEC: TON bien instanciados y tipos TIME correctos.</t>
        </is>
      </c>
      <c r="J22" s="42" t="inlineStr">
        <is>
          <t>tCiclo no se resetea al deshabilitar: al rehabilitar el TON conserva el tiempo y acorta la primera fase verde.</t>
        </is>
      </c>
      <c r="K22" s="42" t="inlineStr">
        <is>
          <t>Comentarios breves por fase y nombres claros.</t>
        </is>
      </c>
      <c r="L22" s="42" t="inlineStr">
        <is>
          <t>Literales en cada rama y salidas repetidas.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I1-4916</t>
        </is>
      </c>
      <c r="B23" s="39" t="inlineStr">
        <is>
          <t>No compila (20 errores).</t>
        </is>
      </c>
      <c r="C23" s="40" t="n">
        <v>0</v>
      </c>
      <c r="D23" s="40" t="n">
        <v>0</v>
      </c>
      <c r="E23" s="41" t="n">
        <v>0</v>
      </c>
      <c r="F23" s="41" t="n">
        <v>1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El TON se reinicia con IN:=FALSE en cada scan y nunca vence; ademas un unico temporizador se comparte entre secuencia e intermitente.</t>
        </is>
      </c>
      <c r="K23" s="42" t="inlineStr">
        <is>
          <t>Nombres aceptables y comentarios, pero el de 'inicializacion' es enganoso.</t>
        </is>
      </c>
      <c r="L23" s="42" t="inlineStr">
        <is>
          <t>Literales repetidos y bloques duplicados por estado.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I1-5056</t>
        </is>
      </c>
      <c r="B24" s="39" t="inlineStr">
        <is>
          <t>Compila. Falla 1 de 9 pasos del harness (pasos 7; numerados desde 0).</t>
        </is>
      </c>
      <c r="C24" s="41" t="n">
        <v>1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Secuencia nominal correcta pero falla el intermitente (paso 7): luzA sigue a Q de un TON que nunca se reinicia y queda fijo encendido; uso incorrecto del TON.</t>
        </is>
      </c>
      <c r="J24" s="42" t="inlineStr">
        <is>
          <t>El temporizador de parpadeo no se rearma: el amarillo queda encendido fijo tras 1 s; resto coherente.</t>
        </is>
      </c>
      <c r="K24" s="42" t="inlineStr">
        <is>
          <t>Comentarios por fase claros, aunque 'Inicializacion de variables' no describe el bloque.</t>
        </is>
      </c>
      <c r="L24" s="42" t="inlineStr">
        <is>
          <t>Tiempos literales y salidas duplicadas por estado.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I1-1955</t>
        </is>
      </c>
      <c r="B25" s="39" t="inlineStr">
        <is>
          <t>Compila. Falla 7 de 9 pasos del harness (pasos 2,3,4,5,6,7,8; numerados desde 0).</t>
        </is>
      </c>
      <c r="C25" s="41" t="n">
        <v>0</v>
      </c>
      <c r="D25" s="41" t="n">
        <v>2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Falla 7 de 9 pasos: el TP activa Q al instante y la secuencia avanza en el primer scan; TP mal empleado.</t>
        </is>
      </c>
      <c r="J25" s="42" t="inlineStr">
        <is>
          <t>Transiciones con Q del TP al inicio y temporizadores nunca reiniciados; la rama ELSE del intermitente es redundante.</t>
        </is>
      </c>
      <c r="K25" s="42" t="inlineStr">
        <is>
          <t>Nombres descriptivos y comentarios por estado.</t>
        </is>
      </c>
      <c r="L25" s="42" t="inlineStr">
        <is>
          <t>Un TP por fase con literales y logica duplicada.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I1-8761</t>
        </is>
      </c>
      <c r="B26" s="39" t="inlineStr">
        <is>
          <t>Compila. Falla 6 de 9 pasos del harness (pasos 0,2,3,5,6,7;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2</v>
      </c>
      <c r="H26" s="40">
        <f>IF(COUNT(C26:G26)=5,SUM(C26:G26),"")</f>
        <v/>
      </c>
      <c r="I26" s="42" t="inlineStr">
        <is>
          <t>Falla 6 de 9 pasos incluidos reposo y nominal: el TON se resetea con IN:=FALSE en cada scan y nunca vence; tipos correctos pero uso no idiomatico.</t>
        </is>
      </c>
      <c r="J26" s="42" t="inlineStr">
        <is>
          <t>Reset incondicional del temporizador bloquea la secuencia; verde encendido aun deshabilitado y parpadeo por contador de scans.</t>
        </is>
      </c>
      <c r="K26" s="42" t="inlineStr">
        <is>
          <t>Comentarios presentes pero incorrectos respecto al comportamiento ('Inicializacion del timer').</t>
        </is>
      </c>
      <c r="L26" s="42" t="inlineStr">
        <is>
          <t>Tiempos declarados como variables TIME con valor inicial, cambios localizados.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I1-4511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IEC: TON bien instanciados y reseteados, ELSE en CASE.</t>
        </is>
      </c>
      <c r="J27" s="42" t="inlineStr">
        <is>
          <t>Estado intermitente explicito con transiciones de entrada y salida que resetean temporizadores; salidas exclusivas.</t>
        </is>
      </c>
      <c r="K27" s="42" t="inlineStr">
        <is>
          <t>Muy bien seccionado, comentarios explican el motivo de los reinicios.</t>
        </is>
      </c>
      <c r="L27" s="42" t="inlineStr">
        <is>
          <t>Un TON por fase con literales repetidos y codigo duplicado.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I1-4945</t>
        </is>
      </c>
      <c r="B28" s="39" t="inlineStr">
        <is>
          <t>No compila (20 errores).</t>
        </is>
      </c>
      <c r="C28" s="40" t="n">
        <v>0</v>
      </c>
      <c r="D28" s="40" t="n">
        <v>0</v>
      </c>
      <c r="E28" s="41" t="n">
        <v>1</v>
      </c>
      <c r="F28" s="41" t="n">
        <v>1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Secuencia coherente, pero el parpadeo sigue a Q de un TON que nunca se rearma y el estado no se reinicia a verde al deshabilitar.</t>
        </is>
      </c>
      <c r="K28" s="42" t="inlineStr">
        <is>
          <t>Comentarios presentes pero 'Inicializacion' es enganoso; estructura basica.</t>
        </is>
      </c>
      <c r="L28" s="42" t="inlineStr">
        <is>
          <t>Literales repetidos y un unico temporizador compartido entre modos.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I1-3124</t>
        </is>
      </c>
      <c r="B29" s="39" t="inlineStr">
        <is>
          <t>Compila. Falla 1 de 9 pasos del harness (pasos 7; numerados desde 0).</t>
        </is>
      </c>
      <c r="C29" s="41" t="n">
        <v>1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Secuencia nominal correcta pero falla el intermitente (paso 7): el TP con IN:=NOT Q deja el amarillo apagado solo un scan; uso incorrecto del TP.</t>
        </is>
      </c>
      <c r="J29" s="42" t="inlineStr">
        <is>
          <t>Deteccion de flanco manual correcta y reinicio en verde, pero el generador de parpadeo no produce 1 s apagado.</t>
        </is>
      </c>
      <c r="K29" s="42" t="inlineStr">
        <is>
          <t>Secciones comentadas y nombres claros, incluido el porque del flanco.</t>
        </is>
      </c>
      <c r="L29" s="42" t="inlineStr">
        <is>
          <t>Tiempos literales dispersos y salidas duplicadas por estado.</t>
        </is>
      </c>
      <c r="M29" s="42" t="n"/>
      <c r="N29" s="40">
        <f>IF(COUNT(C29:G29)=5,"Completa","Falta")</f>
        <v/>
      </c>
    </row>
    <row r="30"/>
  </sheetData>
  <dataValidations count="3">
    <dataValidation sqref="C7:C9 C14:C15 C20:C21 C24: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2 D24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I2 — FSM de llenado multietapa (Intermedio)</t>
        </is>
      </c>
    </row>
    <row r="2" ht="15" customHeight="1" s="22">
      <c r="A2" s="33" t="inlineStr">
        <is>
          <t>Lee cada respuesta por su código en respuestas/Respuestas_I2.html.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I2-2212</t>
        </is>
      </c>
      <c r="B6" s="39" t="inlineStr">
        <is>
          <t>Compila. Falla 4 de 12 pasos del harness (pasos 4,5,6,9;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la mezcla nominal (pasos 4,5,6,9): el TON solo se llama en la transicion y nunca vuelve a evaluarse; compila con tipos correctos pero uso no idiomatico del TON.</t>
        </is>
      </c>
      <c r="J6" s="42" t="inlineStr">
        <is>
          <t>La etapa de mezcla es un estado muerto porque el temporizador no se actualiza; en reposo no se fuerzan las salidas.</t>
        </is>
      </c>
      <c r="K6" s="42" t="inlineStr">
        <is>
          <t>Nombres descriptivos y comentarios por etapa.</t>
        </is>
      </c>
      <c r="L6" s="42" t="inlineStr">
        <is>
          <t>Salidas asignadas de forma dispersa y tiempo literal dentro de la transicion.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I2-8131</t>
        </is>
      </c>
      <c r="B7" s="39" t="inlineStr">
        <is>
          <t>Compila. Pasa los 12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IEC: TON bien instanciado y reiniciado, CASE con ELSE.</t>
        </is>
      </c>
      <c r="J7" s="42" t="inlineStr">
        <is>
          <t>Paro con prioridad, reset del TON y ELSE a reposo seguro; todas las salidas definidas en cada etapa.</t>
        </is>
      </c>
      <c r="K7" s="42" t="inlineStr">
        <is>
          <t>Secciones delimitadas y comentarios por etapa, incluido el significado de cada estado.</t>
        </is>
      </c>
      <c r="L7" s="42" t="inlineStr">
        <is>
          <t>T#60S repetido en cuatro llamadas y bloque de salidas duplicado en cada etapa.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I2-4370</t>
        </is>
      </c>
      <c r="B8" s="39" t="inlineStr">
        <is>
          <t>Compila. Falla 2 de 12 pasos del harness (pasos 2,3; numerados desde 0).</t>
        </is>
      </c>
      <c r="C8" s="41" t="n">
        <v>0</v>
      </c>
      <c r="D8" s="41" t="n">
        <v>2</v>
      </c>
      <c r="E8" s="41" t="n">
        <v>0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la mezcla (pasos 2,3): el TP se llama una sola vez, Q queda activo y la etapa se salta; TP mal empleado.</t>
        </is>
      </c>
      <c r="J8" s="42" t="inlineStr">
        <is>
          <t>El TP no se reevalua ni se rearma: la mezcla dura cero y el paro no impide ejecutar el CASE en el mismo scan.</t>
        </is>
      </c>
      <c r="K8" s="42" t="inlineStr">
        <is>
          <t>Comentarios breves y nombres claros por estado.</t>
        </is>
      </c>
      <c r="L8" s="42" t="inlineStr">
        <is>
          <t>Salidas activadas en transiciones dispersas y tiempo literal.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I2-4324</t>
        </is>
      </c>
      <c r="B9" s="39" t="inlineStr">
        <is>
          <t>Compila. Falla 7 de 12 pasos del harness (pasos 2,3,4,5,6,9,11; numerados desde 0).</t>
        </is>
      </c>
      <c r="C9" s="41" t="n">
        <v>0</v>
      </c>
      <c r="D9" s="41" t="n">
        <v>2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42" t="inlineStr">
        <is>
          <t>Falla 7 de 12 pasos: no hay maquina de estados real, nivelAlto o tMezcla disparan etapas sin condicion de estado; TP mal empleado.</t>
        </is>
      </c>
      <c r="J9" s="42" t="inlineStr">
        <is>
          <t>Bloques IF independientes del estado: transiciones contradictorias (nivelAlto en reposo arranca la mezcla).</t>
        </is>
      </c>
      <c r="K9" s="42" t="inlineStr">
        <is>
          <t>Comentarios rotulan como estados bloques que no lo son, induciendo a error.</t>
        </is>
      </c>
      <c r="L9" s="42" t="inlineStr">
        <is>
          <t>Logica no separable por etapas; cualquier cambio exige reescribir.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I2-4540</t>
        </is>
      </c>
      <c r="B10" s="39" t="inlineStr">
        <is>
          <t>Compila. Falla 4 de 12 pasos del harness (pasos 2,3,4,9;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Falla 4 de 12 pasos: soltar btnInicio fuerza el reposo y aborta la secuencia; TON llamado solo dentro de la mezcla.</t>
        </is>
      </c>
      <c r="J10" s="42" t="inlineStr">
        <is>
          <t>IF NOT btnInicio THEN estado:=0 contradice el funcionamiento por pulsador e impide operar.</t>
        </is>
      </c>
      <c r="K10" s="42" t="inlineStr">
        <is>
          <t>Comentarios presentes pero el de 'Inicializacion del bloque' describe mal la logica.</t>
        </is>
      </c>
      <c r="L10" s="42" t="inlineStr">
        <is>
          <t>Salidas dispersas y tiempo literal.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I2-3499</t>
        </is>
      </c>
      <c r="B11" s="39" t="inlineStr">
        <is>
          <t>Compila. Pasa los 12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IEC: TON bien instanciado y reseteado, CASE con ELSE.</t>
        </is>
      </c>
      <c r="J11" s="42" t="inlineStr">
        <is>
          <t>Paro con prioridad, reset del TON y ELSE a reposo seguro; todas las salidas definidas en cada etapa.</t>
        </is>
      </c>
      <c r="K11" s="42" t="inlineStr">
        <is>
          <t>Comentarios por etapa que describen su condicion de salida; nombres claros.</t>
        </is>
      </c>
      <c r="L11" s="42" t="inlineStr">
        <is>
          <t>T#60S repetido y salidas duplicadas en cada etapa.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I2-9002</t>
        </is>
      </c>
      <c r="B12" s="39" t="inlineStr">
        <is>
          <t>Compila. Pasa los 12 pasos del harness.</t>
        </is>
      </c>
      <c r="C12" s="40" t="n">
        <v>3</v>
      </c>
      <c r="D12" s="41" t="n">
        <v>3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IEC: TON llamado una vez por scan con IN derivado del estado, idiomatico.</t>
        </is>
      </c>
      <c r="J12" s="42" t="inlineStr">
        <is>
          <t>Paro y salidas en reposo correctos, pero con paro mantenido y btnInicio activo el estado oscila a llenado en cada scan.</t>
        </is>
      </c>
      <c r="K12" s="42" t="inlineStr">
        <is>
          <t>Codigo bien comentado; declaraciones de E/S sin comentarios.</t>
        </is>
      </c>
      <c r="L12" s="42" t="inlineStr">
        <is>
          <t>Temporizador y su tiempo en un unico punto; transiciones separadas.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I2-4041</t>
        </is>
      </c>
      <c r="B13" s="39" t="inlineStr">
        <is>
          <t>Compila. Pasa los 12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IEC: TON bien instanciado y reseteado, CASE con ELSE.</t>
        </is>
      </c>
      <c r="J13" s="42" t="inlineStr">
        <is>
          <t>Paro con prioridad, reset del TON y ELSE a reposo seguro; todas las salidas definidas en cada etapa.</t>
        </is>
      </c>
      <c r="K13" s="42" t="inlineStr">
        <is>
          <t>Comentarios por etapa claros y nombres descriptivos.</t>
        </is>
      </c>
      <c r="L13" s="42" t="inlineStr">
        <is>
          <t>T#60S repetido y salidas duplicadas por etapa.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I2-9360</t>
        </is>
      </c>
      <c r="B14" s="39" t="inlineStr">
        <is>
          <t>Compila. Pasa los 12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IEC: TON con IN derivado del estado y salidas booleanas por comparacion, idiomatico.</t>
        </is>
      </c>
      <c r="J14" s="42" t="inlineStr">
        <is>
          <t>Paro prioritario que bloquea el arranque simultaneo; salidas derivadas del estado, imposibles de solapar.</t>
        </is>
      </c>
      <c r="K14" s="42" t="inlineStr">
        <is>
          <t>Secciones ordenadas y comentadas; sin modularizacion adicional.</t>
        </is>
      </c>
      <c r="L14" s="42" t="inlineStr">
        <is>
          <t>Transiciones, temporizador y salidas separados; tiempo en un unico punto.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I2-4337</t>
        </is>
      </c>
      <c r="B15" s="39" t="inlineStr">
        <is>
          <t>Compila. Falla 2 de 12 pasos del harness (pasos 2,3;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Falla la mezcla (pasos 2,3): el TP se llama una sola vez y su Q activo salta la etapa; TP mal empleado.</t>
        </is>
      </c>
      <c r="J15" s="42" t="inlineStr">
        <is>
          <t>Temporizador no reevaluado ni rearmado: mezcla de duracion nula; paro no bloquea el CASE del mismo scan.</t>
        </is>
      </c>
      <c r="K15" s="42" t="inlineStr">
        <is>
          <t>Comentarios breves y nombres claros.</t>
        </is>
      </c>
      <c r="L15" s="42" t="inlineStr">
        <is>
          <t>Salidas activadas en transiciones dispersas y tiempo literal.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I2-3432</t>
        </is>
      </c>
      <c r="B16" s="39" t="inlineStr">
        <is>
          <t>Compila sola, pero no se pudo simular: declara las entradas donde el harness no puede escribirlas ('nivelAlto' no es ninguna entrada de 'FB_LLENADO').</t>
        </is>
      </c>
      <c r="C16" s="41" t="n">
        <v>0</v>
      </c>
      <c r="D16" s="41" t="n">
        <v>1</v>
      </c>
      <c r="E16" s="41" t="n">
        <v>0</v>
      </c>
      <c r="F16" s="41" t="n">
        <v>1</v>
      </c>
      <c r="G16" s="41" t="n">
        <v>1</v>
      </c>
      <c r="H16" s="40">
        <f>IF(COUNT(C16:G16)=5,SUM(C16:G16),"")</f>
        <v/>
      </c>
      <c r="I16" s="42" t="inlineStr">
        <is>
          <t>No simulable y, leyendo el codigo, el TON se resetea en cada scan y no se evalua en la mezcla: queda atascado mezclando; E/S declaradas como VAR.</t>
        </is>
      </c>
      <c r="J16" s="42" t="inlineStr">
        <is>
          <t>La llamada inicial con IN:=FALSE anula el temporizador: estado de mezcla muerto.</t>
        </is>
      </c>
      <c r="K16" s="42" t="inlineStr">
        <is>
          <t>Comentarios presentes pero entradas, salidas e internas mezcladas en un unico VAR.</t>
        </is>
      </c>
      <c r="L16" s="42" t="inlineStr">
        <is>
          <t>Tiempo literal y salidas dispersas.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I2-3102</t>
        </is>
      </c>
      <c r="B17" s="39" t="inlineStr">
        <is>
          <t>No compila (2 errores).</t>
        </is>
      </c>
      <c r="C17" s="40" t="n">
        <v>0</v>
      </c>
      <c r="D17" s="40" t="n">
        <v>0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Paro con RETURN y reset, flanco de inicio con R_TRIG, ELSE seguro; logica robusta salvo el error de sintaxis.</t>
        </is>
      </c>
      <c r="K17" s="42" t="inlineStr">
        <is>
          <t>Muy bien seccionado y comentado, incluye el tipo de senal de cada boton.</t>
        </is>
      </c>
      <c r="L17" s="42" t="inlineStr">
        <is>
          <t>T#60S repetido en varias llamadas y salidas duplicadas en cada etapa.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I2-7023</t>
        </is>
      </c>
      <c r="B18" s="39" t="inlineStr">
        <is>
          <t>Compila. Pasa los 12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IEC: TON con IN derivado del estado y salidas por comparacion, idiomatico.</t>
        </is>
      </c>
      <c r="J18" s="42" t="inlineStr">
        <is>
          <t>El paro excluye la ejecucion del CASE (bloquea arranque simultaneo) y las salidas se derivan del estado.</t>
        </is>
      </c>
      <c r="K18" s="42" t="inlineStr">
        <is>
          <t>Codigo comentado y ordenado; declaraciones de E/S sin comentarios.</t>
        </is>
      </c>
      <c r="L18" s="42" t="inlineStr">
        <is>
          <t>Transiciones, temporizador y salidas separados; tiempo en un solo punto.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I2-4582</t>
        </is>
      </c>
      <c r="B19" s="39" t="inlineStr">
        <is>
          <t>Compila. Pasa los 12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IEC: TON bien instanciado y reseteado, CASE con ELSE.</t>
        </is>
      </c>
      <c r="J19" s="42" t="inlineStr">
        <is>
          <t>Paro con prioridad, reset del TON y ELSE a reposo seguro; todas las salidas definidas en cada etapa.</t>
        </is>
      </c>
      <c r="K19" s="42" t="inlineStr">
        <is>
          <t>Comentarios por etapa claros y nombres descriptivos.</t>
        </is>
      </c>
      <c r="L19" s="42" t="inlineStr">
        <is>
          <t>T#60S repetido y salidas duplicadas por etapa.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I2-9998</t>
        </is>
      </c>
      <c r="B20" s="39" t="inlineStr">
        <is>
          <t>Compila. Pasa los 12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IEC: TON con IN derivado del estado, salidas por comparacion, idiomatico.</t>
        </is>
      </c>
      <c r="J20" s="42" t="inlineStr">
        <is>
          <t>Paro prioritario con bloqueo del arranque, salidas exclusivas derivadas del estado.</t>
        </is>
      </c>
      <c r="K20" s="42" t="inlineStr">
        <is>
          <t>Secciones comentadas y nombres claros.</t>
        </is>
      </c>
      <c r="L20" s="42" t="inlineStr">
        <is>
          <t>Transiciones, temporizador y salidas separados; tiempo en un unico punto.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I2-3377</t>
        </is>
      </c>
      <c r="B21" s="39" t="inlineStr">
        <is>
          <t>Compila sola, pero no se pudo simular: declara las entradas donde el harness no puede escribirlas ('nivelAlto' no es ninguna entrada de 'FB_LLENADO').</t>
        </is>
      </c>
      <c r="C21" s="41" t="n">
        <v>1</v>
      </c>
      <c r="D21" s="41" t="n">
        <v>1</v>
      </c>
      <c r="E21" s="41" t="n">
        <v>1</v>
      </c>
      <c r="F21" s="41" t="n">
        <v>1</v>
      </c>
      <c r="G21" s="41" t="n">
        <v>1</v>
      </c>
      <c r="H21" s="40">
        <f>IF(COUNT(C21:G21)=5,SUM(C21:G21),"")</f>
        <v/>
      </c>
      <c r="I21" s="42" t="inlineStr">
        <is>
          <t>No simulable; leyendo el codigo el primer ciclo funciona, pero el TON nunca se resetea y en el siguiente ciclo o tras un paro la mezcla se salta; E/S declaradas como VAR.</t>
        </is>
      </c>
      <c r="J21" s="42" t="inlineStr">
        <is>
          <t>El temporizador no se reinicia ni al terminar ni con el paro, lo que acorta o anula mezclas posteriores.</t>
        </is>
      </c>
      <c r="K21" s="42" t="inlineStr">
        <is>
          <t>E/S mezcladas en VAR y comentario 'Inicializacion' que no corresponde.</t>
        </is>
      </c>
      <c r="L21" s="42" t="inlineStr">
        <is>
          <t>Tiempo literal y salidas dispersas por etapa.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I2-1039</t>
        </is>
      </c>
      <c r="B22" s="39" t="inlineStr">
        <is>
          <t>Compila. Falla 5 de 12 pasos del harness (pasos 2,3,4,5,9; numerados desde 0).</t>
        </is>
      </c>
      <c r="C22" s="41" t="n">
        <v>0</v>
      </c>
      <c r="D22" s="41" t="n">
        <v>2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Falla 5 de 12 pasos: el CASE solo se ejecuta con btnInicio pulsado y la mezcla usa NOT Q de un TON llamado una vez; uso no idiomatico.</t>
        </is>
      </c>
      <c r="J22" s="42" t="inlineStr">
        <is>
          <t>Logica contradictoria: la secuencia depende de mantener el pulsador y la mezcla pasa a descarga de inmediato.</t>
        </is>
      </c>
      <c r="K22" s="42" t="inlineStr">
        <is>
          <t>Nombres y comentarios por estado correctos.</t>
        </is>
      </c>
      <c r="L22" s="42" t="inlineStr">
        <is>
          <t>Tiempo literal y salidas dispersas.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I2-2195</t>
        </is>
      </c>
      <c r="B23" s="39" t="inlineStr">
        <is>
          <t>Compila. Falla 3 de 12 pasos del harness (pasos 4,5,6; numerados desde 0).</t>
        </is>
      </c>
      <c r="C23" s="41" t="n">
        <v>0</v>
      </c>
      <c r="D23" s="41" t="n">
        <v>2</v>
      </c>
      <c r="E23" s="41" t="n">
        <v>0</v>
      </c>
      <c r="F23" s="41" t="n">
        <v>1</v>
      </c>
      <c r="G23" s="41" t="n">
        <v>1</v>
      </c>
      <c r="H23" s="40">
        <f>IF(COUNT(C23:G23)=5,SUM(C23:G23),"")</f>
        <v/>
      </c>
      <c r="I23" s="42" t="inlineStr">
        <is>
          <t>Falla la mezcla nominal (pasos 4,5,6): el TON solo se llama en la transicion y nunca vuelve a evaluarse; uso no idiomatico.</t>
        </is>
      </c>
      <c r="J23" s="42" t="inlineStr">
        <is>
          <t>La etapa de mezcla es un estado muerto por temporizador no actualizado.</t>
        </is>
      </c>
      <c r="K23" s="42" t="inlineStr">
        <is>
          <t>E/S declaradas en una linea sin comentarios y comentarios minimos.</t>
        </is>
      </c>
      <c r="L23" s="42" t="inlineStr">
        <is>
          <t>Tiempo literal y salidas asignadas en transiciones dispersas.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I2-5294</t>
        </is>
      </c>
      <c r="B24" s="39" t="inlineStr">
        <is>
          <t>Compila. Pasa los 12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IEC: TON con IN derivado del estado, salidas por comparacion, idiomatico.</t>
        </is>
      </c>
      <c r="J24" s="42" t="inlineStr">
        <is>
          <t>Paro prioritario con bloqueo del arranque y salidas exclusivas derivadas del estado.</t>
        </is>
      </c>
      <c r="K24" s="42" t="inlineStr">
        <is>
          <t>Secciones ordenadas y comentadas.</t>
        </is>
      </c>
      <c r="L24" s="42" t="inlineStr">
        <is>
          <t>Transiciones, temporizador y salidas separados; tiempo en un unico punto.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I2-5330</t>
        </is>
      </c>
      <c r="B25" s="39" t="inlineStr">
        <is>
          <t>Compila. Pasa los 12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IEC: TON con IN derivado del estado y ELSE en CASE, idiomatico.</t>
        </is>
      </c>
      <c r="J25" s="42" t="inlineStr">
        <is>
          <t>Paro prioritario con bloqueo del arranque, ELSE ante estados invalidos y salidas exclusivas.</t>
        </is>
      </c>
      <c r="K25" s="42" t="inlineStr">
        <is>
          <t>Secciones numeradas con comentarios que explican el porque del estado seguro.</t>
        </is>
      </c>
      <c r="L25" s="42" t="inlineStr">
        <is>
          <t>Transiciones, salidas y temporizador separados; tiempo en un solo punto.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I2-9686</t>
        </is>
      </c>
      <c r="B26" s="39" t="inlineStr">
        <is>
          <t>Compila. Falla 3 de 12 pasos del harness (pasos 4,5,6;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Falla 3 de 12 pasos: el TON se resetea con IN:=FALSE al inicio de cada scan y nunca vence; uso no idiomatico.</t>
        </is>
      </c>
      <c r="J26" s="42" t="inlineStr">
        <is>
          <t>Reset incondicional del temporizador deja la mezcla como estado muerto.</t>
        </is>
      </c>
      <c r="K26" s="42" t="inlineStr">
        <is>
          <t>Comentarios presentes pero 'Inicializacion del timer' es enganoso.</t>
        </is>
      </c>
      <c r="L26" s="42" t="inlineStr">
        <is>
          <t>Tiempo literal y salidas dispersas por etapa.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I2-7180</t>
        </is>
      </c>
      <c r="B27" s="39" t="inlineStr">
        <is>
          <t>Compila. Falla 3 de 12 pasos del harness (pasos 4,5,6; numerados desde 0).</t>
        </is>
      </c>
      <c r="C27" s="41" t="n">
        <v>0</v>
      </c>
      <c r="D27" s="41" t="n">
        <v>2</v>
      </c>
      <c r="E27" s="41" t="n">
        <v>0</v>
      </c>
      <c r="F27" s="41" t="n">
        <v>1</v>
      </c>
      <c r="G27" s="41" t="n">
        <v>2</v>
      </c>
      <c r="H27" s="40">
        <f>IF(COUNT(C27:G27)=5,SUM(C27:G27),"")</f>
        <v/>
      </c>
      <c r="I27" s="42" t="inlineStr">
        <is>
          <t>Falla 3 de 12 pasos: el TON se resetea en cada scan y nunca vence; uso no idiomatico.</t>
        </is>
      </c>
      <c r="J27" s="42" t="inlineStr">
        <is>
          <t>Reset incondicional del temporizador bloquea la mezcla; paro repetido en cada estado.</t>
        </is>
      </c>
      <c r="K27" s="42" t="inlineStr">
        <is>
          <t>Comentario de inicializacion enganoso y paro duplicado en cada rama.</t>
        </is>
      </c>
      <c r="L27" s="42" t="inlineStr">
        <is>
          <t>Tiempo declarado como variable TIME, aunque el paro esta duplicado por estado.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I2-8425</t>
        </is>
      </c>
      <c r="B28" s="39" t="inlineStr">
        <is>
          <t>Compila. Pasa los 12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IEC: TON bien instanciado y reseteado, CASE con ELSE.</t>
        </is>
      </c>
      <c r="J28" s="42" t="inlineStr">
        <is>
          <t>Paro con prioridad, reset del TON y ELSE a reposo seguro; todas las salidas definidas en cada etapa.</t>
        </is>
      </c>
      <c r="K28" s="42" t="inlineStr">
        <is>
          <t>Bien seccionado con comentarios de transicion.</t>
        </is>
      </c>
      <c r="L28" s="42" t="inlineStr">
        <is>
          <t>T#60S repetido en varias llamadas y salidas duplicadas por etapa.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I2-6794</t>
        </is>
      </c>
      <c r="B29" s="39" t="inlineStr">
        <is>
          <t>Compila. Falla 3 de 12 pasos del harness (pasos 2,3,9;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Falla la mezcla (pasos 2,3,9): el TON se llama una vez y NOT Q pasa a descarga de inmediato; uso no idiomatico.</t>
        </is>
      </c>
      <c r="J29" s="42" t="inlineStr">
        <is>
          <t>Logica de mezcla invertida: el motor nunca funciona 60 s.</t>
        </is>
      </c>
      <c r="K29" s="42" t="inlineStr">
        <is>
          <t>Nombres y comentarios por estado claros.</t>
        </is>
      </c>
      <c r="L29" s="42" t="inlineStr">
        <is>
          <t>Tiempo literal y salidas dispersas.</t>
        </is>
      </c>
      <c r="M29" s="42" t="n"/>
      <c r="N29" s="40">
        <f>IF(COUNT(C29:G29)=5,"Completa","Falta")</f>
        <v/>
      </c>
    </row>
    <row r="30"/>
  </sheetData>
  <dataValidations count="3">
    <dataValidation sqref="C6 C8:C10 C15:C16 C21:C23 C26: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6 D1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I3 — Gestión de alarmas con prioridad (Intermedio)</t>
        </is>
      </c>
    </row>
    <row r="2" ht="15" customHeight="1" s="22">
      <c r="A2" s="33" t="inlineStr">
        <is>
          <t>Lee cada respuesta por su código en respuestas/Respuestas_I3.html.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I3-8823</t>
        </is>
      </c>
      <c r="B6" s="39" t="inlineStr">
        <is>
          <t>Compila. Pasa los 10 pasos del harness.</t>
        </is>
      </c>
      <c r="C6" s="40" t="n">
        <v>3</v>
      </c>
      <c r="D6" s="41" t="n">
        <v>3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IEC: FB con E/S bien declaradas y enclavamientos IF/ELSIF en ST estandar.</t>
        </is>
      </c>
      <c r="J6" s="42" t="inlineStr">
        <is>
          <t>Set con prioridad sobre reset y ack condicionado a causa ausente (guarda NOT alm redundante); ack por nivel, un ack mantenido anula la retencion.</t>
        </is>
      </c>
      <c r="K6" s="42" t="inlineStr">
        <is>
          <t>Secciones comentadas que explican la regla de reconocimiento; nombres claros, sin modularizacion adicional.</t>
        </is>
      </c>
      <c r="L6" s="42" t="inlineStr">
        <is>
          <t>Logica compacta y localizada, pero triplicada por alarma sin estructura extensible (arreglo o FB de enclavamiento).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I3-1249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IEC: FB con E/S bien declaradas y enclavamientos IF/ELSIF en ST estandar.</t>
        </is>
      </c>
      <c r="J7" s="42" t="inlineStr">
        <is>
          <t>Set con prioridad sobre reset y ack condicionado a causa ausente (guarda NOT alm redundante); ack por nivel, un ack mantenido anula la retencion.</t>
        </is>
      </c>
      <c r="K7" s="42" t="inlineStr">
        <is>
          <t>Secciones comentadas que explican la regla de reconocimiento; nombres claros, sin modularizacion adicional.</t>
        </is>
      </c>
      <c r="L7" s="42" t="inlineStr">
        <is>
          <t>Logica compacta y localizada, pero triplicada por alarma sin estructura extensible (arreglo o FB de enclavamiento).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I3-2429</t>
        </is>
      </c>
      <c r="B8" s="39" t="inlineStr">
        <is>
          <t>Compila. Pasa los 10 pasos del harness.</t>
        </is>
      </c>
      <c r="C8" s="40" t="n">
        <v>3</v>
      </c>
      <c r="D8" s="41" t="n">
        <v>3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IEC: FB con E/S bien declaradas y set/reset con IF en ST estandar.</t>
        </is>
      </c>
      <c r="J8" s="42" t="inlineStr">
        <is>
          <t>Set y reset separados con la condicion de causa ausente; ack por nivel, un ack mantenido anula la retencion.</t>
        </is>
      </c>
      <c r="K8" s="42" t="inlineStr">
        <is>
          <t>Secciones comentadas (retencion, sirena, codigo) y nombres descriptivos; sin modularizacion adicional.</t>
        </is>
      </c>
      <c r="L8" s="42" t="inlineStr">
        <is>
          <t>Logica compacta y localizada, pero triplicada por alarma sin estructura extensible (arreglo o FB de enclavamiento).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I3-2584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2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IEC: FB con E/S bien declaradas y enclavamiento por ecuacion booleana, ST estandar.</t>
        </is>
      </c>
      <c r="J9" s="42" t="inlineStr">
        <is>
          <t>Enclavamiento con set dominante correcto y prioridad bien resuelta; ack por nivel, un ack mantenido anula la retencion.</t>
        </is>
      </c>
      <c r="K9" s="42" t="inlineStr">
        <is>
          <t>Secciones comentadas que explican la regla de reconocimiento; nombres claros, sin modularizacion adicional.</t>
        </is>
      </c>
      <c r="L9" s="42" t="inlineStr">
        <is>
          <t>Logica compacta y localizada, pero triplicada por alarma sin estructura extensible (arreglo o FB de enclavamiento).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I3-9331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IEC: FB con E/S bien declaradas y enclavamientos IF/ELSIF en ST estandar.</t>
        </is>
      </c>
      <c r="J10" s="42" t="inlineStr">
        <is>
          <t>Set con prioridad sobre reset y ack condicionado a causa ausente (guarda NOT alm redundante); ack por nivel, un ack mantenido anula la retencion.</t>
        </is>
      </c>
      <c r="K10" s="42" t="inlineStr">
        <is>
          <t>Secciones comentadas (retencion, sirena, codigo) y nombres descriptivos; sin modularizacion adicional.</t>
        </is>
      </c>
      <c r="L10" s="42" t="inlineStr">
        <is>
          <t>Logica compacta y localizada, pero triplicada por alarma sin estructura extensible (arreglo o FB de enclavamiento).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I3-6376</t>
        </is>
      </c>
      <c r="B11" s="39" t="inlineStr">
        <is>
          <t>Compila. Falla 2 de 10 pasos del harness (pasos 2,3; numerados desde 0).</t>
        </is>
      </c>
      <c r="C11" s="41" t="n">
        <v>1</v>
      </c>
      <c r="D11" s="41" t="n">
        <v>3</v>
      </c>
      <c r="E11" s="41" t="n">
        <v>1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Prioridad y sirena correctas en el caso nominal, pero falla la retencion y el ack con causa presente (pasos 2,3); ST estandar con E/S bien declaradas.</t>
        </is>
      </c>
      <c r="J11" s="42" t="inlineStr">
        <is>
          <t>No hay memoria: retAlm copia alm y el ack borra aun con la causa presente, contrario a la regla pedida.</t>
        </is>
      </c>
      <c r="K11" s="42" t="inlineStr">
        <is>
          <t>Comentario 'Retencion de alarmas' describe una retencion que no existe.</t>
        </is>
      </c>
      <c r="L11" s="42" t="inlineStr">
        <is>
          <t>Sirena repetida en cada rama y logica triplicada sin estructura extensible.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I3-8129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IEC: FB con E/S bien declaradas y enclavamiento por ecuacion booleana, ST estandar.</t>
        </is>
      </c>
      <c r="J12" s="42" t="inlineStr">
        <is>
          <t>Enclavamiento con set dominante correcto y prioridad bien resuelta; ack por nivel, un ack mantenido anula la retencion.</t>
        </is>
      </c>
      <c r="K12" s="42" t="inlineStr">
        <is>
          <t>Secciones comentadas que explican la regla de reconocimiento; nombres claros, sin modularizacion adicional.</t>
        </is>
      </c>
      <c r="L12" s="42" t="inlineStr">
        <is>
          <t>Logica compacta y localizada, pero triplicada por alarma sin estructura extensible (arreglo o FB de enclavamiento).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I3-2453</t>
        </is>
      </c>
      <c r="B13" s="39" t="inlineStr">
        <is>
          <t>Compila. Pasa los 10 pasos del harness.</t>
        </is>
      </c>
      <c r="C13" s="40" t="n">
        <v>3</v>
      </c>
      <c r="D13" s="41" t="n">
        <v>3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IEC: FB con E/S bien declaradas y enclavamientos IF/ELSIF en ST estandar.</t>
        </is>
      </c>
      <c r="J13" s="42" t="inlineStr">
        <is>
          <t>Set dominante y reset en ELSIF (implica causa ausente) correctos; ack por nivel, un ack mantenido anula la retencion.</t>
        </is>
      </c>
      <c r="K13" s="42" t="inlineStr">
        <is>
          <t>Secciones comentadas que explican la regla de reconocimiento; nombres claros, sin modularizacion adicional.</t>
        </is>
      </c>
      <c r="L13" s="42" t="inlineStr">
        <is>
          <t>Logica compacta y localizada, pero triplicada por alarma sin estructura extensible (arreglo o FB de enclavamiento).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I3-5104</t>
        </is>
      </c>
      <c r="B14" s="39" t="inlineStr">
        <is>
          <t>Compila. Pasa los 10 pasos del harness.</t>
        </is>
      </c>
      <c r="C14" s="40" t="n">
        <v>3</v>
      </c>
      <c r="D14" s="41" t="n">
        <v>3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IEC: FB con E/S bien declaradas y set/reset con IF en ST estandar.</t>
        </is>
      </c>
      <c r="J14" s="42" t="inlineStr">
        <is>
          <t>Set y reset separados con la condicion de causa ausente; ack por nivel, un ack mantenido anula la retencion.</t>
        </is>
      </c>
      <c r="K14" s="42" t="inlineStr">
        <is>
          <t>Secciones comentadas (retencion, sirena, codigo) y nombres descriptivos; sin modularizacion adicional.</t>
        </is>
      </c>
      <c r="L14" s="42" t="inlineStr">
        <is>
          <t>Cambios localizados, aunque la logica se triplica por alarma y la sirena se repite en cada rama de prioridad.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I3-3183</t>
        </is>
      </c>
      <c r="B15" s="39" t="inlineStr">
        <is>
          <t>Compila. Pasa los 10 pasos del harness.</t>
        </is>
      </c>
      <c r="C15" s="40" t="n">
        <v>3</v>
      </c>
      <c r="D15" s="41" t="n">
        <v>3</v>
      </c>
      <c r="E15" s="41" t="n">
        <v>2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IEC: FB con E/S bien declaradas y set/reset con IF en ST estandar.</t>
        </is>
      </c>
      <c r="J15" s="42" t="inlineStr">
        <is>
          <t>Set y reset separados con la condicion de causa ausente; ack por nivel, un ack mantenido anula la retencion.</t>
        </is>
      </c>
      <c r="K15" s="42" t="inlineStr">
        <is>
          <t>Secciones comentadas (retencion, sirena, codigo) y nombres descriptivos; sin modularizacion adicional.</t>
        </is>
      </c>
      <c r="L15" s="42" t="inlineStr">
        <is>
          <t>Logica compacta y localizada, pero triplicada por alarma sin estructura extensible (arreglo o FB de enclavamiento).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I3-8600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2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IEC: FB con E/S bien declaradas y enclavamientos IF/ELSIF en ST estandar.</t>
        </is>
      </c>
      <c r="J16" s="42" t="inlineStr">
        <is>
          <t>Set con prioridad sobre reset y ack condicionado a causa ausente (guarda NOT alm redundante); ack por nivel, un ack mantenido anula la retencion.</t>
        </is>
      </c>
      <c r="K16" s="42" t="inlineStr">
        <is>
          <t>Secciones comentadas (retencion, sirena, codigo) y nombres descriptivos; sin modularizacion adicional.</t>
        </is>
      </c>
      <c r="L16" s="42" t="inlineStr">
        <is>
          <t>Logica compacta y localizada, pero triplicada por alarma sin estructura extensible (arreglo o FB de enclavamiento).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I3-6496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IEC: FB con E/S bien declaradas y enclavamientos IF/ELSIF en ST estandar.</t>
        </is>
      </c>
      <c r="J17" s="42" t="inlineStr">
        <is>
          <t>Set con prioridad sobre reset y ack condicionado a causa ausente (guarda NOT alm redundante); ack por nivel, un ack mantenido anula la retencion.</t>
        </is>
      </c>
      <c r="K17" s="42" t="inlineStr">
        <is>
          <t>Secciones comentadas que explican la regla de reconocimiento; nombres claros, sin modularizacion adicional.</t>
        </is>
      </c>
      <c r="L17" s="42" t="inlineStr">
        <is>
          <t>Logica compacta y localizada, pero triplicada por alarma sin estructura extensible (arreglo o FB de enclavamiento).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I3-4378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IEC: FB con E/S bien declaradas y set/reset con IF en ST estandar.</t>
        </is>
      </c>
      <c r="J18" s="42" t="inlineStr">
        <is>
          <t>Set y reset separados con la condicion de causa ausente; ack por nivel, un ack mantenido anula la retencion.</t>
        </is>
      </c>
      <c r="K18" s="42" t="inlineStr">
        <is>
          <t>Secciones comentadas (retencion, sirena, codigo) y nombres descriptivos; sin modularizacion adicional.</t>
        </is>
      </c>
      <c r="L18" s="42" t="inlineStr">
        <is>
          <t>Cambios localizados, aunque la logica se triplica por alarma y la sirena se repite en cada rama de prioridad.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I3-1066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IEC: FB con E/S bien declaradas y set/reset con IF en ST estandar.</t>
        </is>
      </c>
      <c r="J19" s="42" t="inlineStr">
        <is>
          <t>Reset condicionado seguido de set dominante, correcto; ack por nivel, un ack mantenido anula la retencion.</t>
        </is>
      </c>
      <c r="K19" s="42" t="inlineStr">
        <is>
          <t>Nombres claros pero comentarios minimos y erratas ('retenido'); bloque de reset rotulado como retencion.</t>
        </is>
      </c>
      <c r="L19" s="42" t="inlineStr">
        <is>
          <t>Cambios localizados, aunque la logica se triplica por alarma y la sirena se repite en cada rama de prioridad.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I3-1113</t>
        </is>
      </c>
      <c r="B20" s="39" t="inlineStr">
        <is>
          <t>Compila. Pasa los 10 pasos del harness.</t>
        </is>
      </c>
      <c r="C20" s="40" t="n">
        <v>3</v>
      </c>
      <c r="D20" s="41" t="n">
        <v>3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IEC: FB con E/S bien declaradas y set/reset con IF en ST estandar.</t>
        </is>
      </c>
      <c r="J20" s="42" t="inlineStr">
        <is>
          <t>Set y reset separados con la condicion de causa ausente; ack por nivel, un ack mantenido anula la retencion.</t>
        </is>
      </c>
      <c r="K20" s="42" t="inlineStr">
        <is>
          <t>Secciones comentadas (retencion, sirena, codigo) y nombres descriptivos; sin modularizacion adicional.</t>
        </is>
      </c>
      <c r="L20" s="42" t="inlineStr">
        <is>
          <t>Logica compacta y localizada, pero triplicada por alarma sin estructura extensible (arreglo o FB de enclavamiento).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I3-9934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IEC: FB con E/S bien declaradas y enclavamiento por ecuacion booleana, ST estandar.</t>
        </is>
      </c>
      <c r="J21" s="42" t="inlineStr">
        <is>
          <t>Enclavamiento con set dominante correcto y prioridad bien resuelta; ack por nivel, un ack mantenido anula la retencion.</t>
        </is>
      </c>
      <c r="K21" s="42" t="inlineStr">
        <is>
          <t>Secciones comentadas que explican la regla de reconocimiento; nombres claros, sin modularizacion adicional.</t>
        </is>
      </c>
      <c r="L21" s="42" t="inlineStr">
        <is>
          <t>Logica compacta y localizada, pero triplicada por alarma sin estructura extensible (arreglo o FB de enclavamiento).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I3-7296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IEC: FB con E/S bien declaradas y enclavamientos IF/ELSIF en ST estandar.</t>
        </is>
      </c>
      <c r="J22" s="42" t="inlineStr">
        <is>
          <t>Set con prioridad sobre reset y ack condicionado a causa ausente (guarda NOT alm redundante); ack por nivel, un ack mantenido anula la retencion.</t>
        </is>
      </c>
      <c r="K22" s="42" t="inlineStr">
        <is>
          <t>Secciones comentadas que explican la regla de reconocimiento; nombres claros, sin modularizacion adicional.</t>
        </is>
      </c>
      <c r="L22" s="42" t="inlineStr">
        <is>
          <t>Logica compacta y localizada, pero triplicada por alarma sin estructura extensible (arreglo o FB de enclavamiento).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I3-3545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2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IEC: FB con E/S bien declaradas y enclavamientos IF/ELSIF en ST estandar.</t>
        </is>
      </c>
      <c r="J23" s="42" t="inlineStr">
        <is>
          <t>Set con prioridad sobre reset y ack condicionado a causa ausente (guarda NOT alm redundante); ack por nivel, un ack mantenido anula la retencion.</t>
        </is>
      </c>
      <c r="K23" s="42" t="inlineStr">
        <is>
          <t>Secciones comentadas (retencion, sirena, codigo) y nombres descriptivos; sin modularizacion adicional.</t>
        </is>
      </c>
      <c r="L23" s="42" t="inlineStr">
        <is>
          <t>Logica compacta y localizada, pero triplicada por alarma sin estructura extensible (arreglo o FB de enclavamiento).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I3-7173</t>
        </is>
      </c>
      <c r="B24" s="39" t="inlineStr">
        <is>
          <t>Compila. Falla 2 de 10 pasos del harness (pasos 2,3; numerados desde 0).</t>
        </is>
      </c>
      <c r="C24" s="41" t="n">
        <v>1</v>
      </c>
      <c r="D24" s="41" t="n">
        <v>3</v>
      </c>
      <c r="E24" s="41" t="n">
        <v>1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Prioridad y sirena correctas en el caso nominal, pero falla la retencion y el ack con causa presente (pasos 2,3); ST estandar con E/S bien declaradas.</t>
        </is>
      </c>
      <c r="J24" s="42" t="inlineStr">
        <is>
          <t>No hay memoria: retAlm copia alm y el ack borra aun con la causa presente, contrario a la regla pedida.</t>
        </is>
      </c>
      <c r="K24" s="42" t="inlineStr">
        <is>
          <t>Comentario 'Retencion de alarmas' describe una retencion que no existe.</t>
        </is>
      </c>
      <c r="L24" s="42" t="inlineStr">
        <is>
          <t>Logica triplicada sin retencion; anadir la funcion pedida exige reescribir cada bloque.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I3-9721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2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IEC: FB con E/S bien declaradas y enclavamientos IF/ELSIF en ST estandar.</t>
        </is>
      </c>
      <c r="J25" s="42" t="inlineStr">
        <is>
          <t>Set con prioridad sobre reset y ack condicionado a causa ausente (guarda NOT alm redundante); ack por nivel, un ack mantenido anula la retencion.</t>
        </is>
      </c>
      <c r="K25" s="42" t="inlineStr">
        <is>
          <t>Secciones comentadas que explican la regla de reconocimiento; nombres claros, sin modularizacion adicional.</t>
        </is>
      </c>
      <c r="L25" s="42" t="inlineStr">
        <is>
          <t>Logica compacta y localizada, pero triplicada por alarma sin estructura extensible (arreglo o FB de enclavamiento).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I3-2759</t>
        </is>
      </c>
      <c r="B26" s="39" t="inlineStr">
        <is>
          <t>Compila. Pasa los 10 pasos del harness.</t>
        </is>
      </c>
      <c r="C26" s="40" t="n">
        <v>3</v>
      </c>
      <c r="D26" s="41" t="n">
        <v>3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IEC: FB con E/S bien declaradas y enclavamiento por ecuacion booleana, ST estandar.</t>
        </is>
      </c>
      <c r="J26" s="42" t="inlineStr">
        <is>
          <t>Enclavamiento con set dominante correcto y prioridad bien resuelta; ack por nivel, un ack mantenido anula la retencion.</t>
        </is>
      </c>
      <c r="K26" s="42" t="inlineStr">
        <is>
          <t>Secciones comentadas que explican la regla de reconocimiento; nombres claros, sin modularizacion adicional.</t>
        </is>
      </c>
      <c r="L26" s="42" t="inlineStr">
        <is>
          <t>Logica compacta y localizada, pero triplicada por alarma sin estructura extensible (arreglo o FB de enclavamiento).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I3-4645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IEC: FB con E/S bien declaradas y set/reset con IF en ST estandar.</t>
        </is>
      </c>
      <c r="J27" s="42" t="inlineStr">
        <is>
          <t>Set y reset separados con la condicion de causa ausente; ack por nivel, un ack mantenido anula la retencion.</t>
        </is>
      </c>
      <c r="K27" s="42" t="inlineStr">
        <is>
          <t>Secciones comentadas (retencion, sirena, codigo) y nombres descriptivos; sin modularizacion adicional.</t>
        </is>
      </c>
      <c r="L27" s="42" t="inlineStr">
        <is>
          <t>Cambios localizados, aunque la logica se triplica por alarma y la sirena se repite en cada rama de prioridad.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I3-1393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IEC: FB con E/S bien declaradas y enclavamiento por ecuacion booleana, ST estandar.</t>
        </is>
      </c>
      <c r="J28" s="42" t="inlineStr">
        <is>
          <t>Enclavamiento con set dominante correcto y prioridad bien resuelta; ack por nivel, un ack mantenido anula la retencion.</t>
        </is>
      </c>
      <c r="K28" s="42" t="inlineStr">
        <is>
          <t>Secciones comentadas (retencion, sirena, codigo) y nombres descriptivos; sin modularizacion adicional.</t>
        </is>
      </c>
      <c r="L28" s="42" t="inlineStr">
        <is>
          <t>Logica compacta y localizada, pero triplicada por alarma sin estructura extensible (arreglo o FB de enclavamiento).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I3-4818</t>
        </is>
      </c>
      <c r="B29" s="39" t="inlineStr">
        <is>
          <t>Compila. Pasa los 10 pasos del harness.</t>
        </is>
      </c>
      <c r="C29" s="40" t="n">
        <v>3</v>
      </c>
      <c r="D29" s="41" t="n">
        <v>3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IEC: FB con E/S bien declaradas y enclavamientos IF/ELSIF en ST estandar.</t>
        </is>
      </c>
      <c r="J29" s="42" t="inlineStr">
        <is>
          <t>Set con prioridad sobre reset y ack condicionado a causa ausente (guarda NOT alm redundante); ack por nivel, un ack mantenido anula la retencion.</t>
        </is>
      </c>
      <c r="K29" s="42" t="inlineStr">
        <is>
          <t>Secciones comentadas que explican la regla de reconocimiento; nombres claros, sin modularizacion adicional.</t>
        </is>
      </c>
      <c r="L29" s="42" t="inlineStr">
        <is>
          <t>Logica compacta y localizada, pero triplicada por alarma sin estructura extensible (arreglo o FB de enclavamiento).</t>
        </is>
      </c>
      <c r="M29" s="42" t="n"/>
      <c r="N29" s="40">
        <f>IF(COUNT(C29:G29)=5,"Completa","Falta")</f>
        <v/>
      </c>
    </row>
    <row r="30"/>
  </sheetData>
  <dataValidations count="3">
    <dataValidation sqref="C11 C24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I4 — Arranque estrella-triángulo (Intermedio)</t>
        </is>
      </c>
    </row>
    <row r="2" ht="15" customHeight="1" s="22">
      <c r="A2" s="33" t="inlineStr">
        <is>
          <t>Lee cada respuesta por su código en respuestas/Respuestas_I4.html.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I4-2611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Pasa todo; TON bien instanciados y TIME correctos, idiomático.</t>
        </is>
      </c>
      <c r="J6" s="42" t="inlineStr">
        <is>
          <t>Paro prioritario, estado ELSE seguro, enclavamiento final kY/kD y temporizadores reseteados en reposo.</t>
        </is>
      </c>
      <c r="K6" s="42" t="inlineStr">
        <is>
          <t>Estados documentados y secciones claras, pero estados como INT mágicos.</t>
        </is>
      </c>
      <c r="L6" s="42" t="inlineStr">
        <is>
          <t>Literales T#8S/T#100MS repetidos en varios estados y números de estado sin constantes.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I4-7007</t>
        </is>
      </c>
      <c r="B7" s="39" t="inlineStr">
        <is>
          <t>Compila sola, pero no se pudo simular: declara las entradas donde el harness no puede escribirlas ('btnMarcha' no es ninguna entrada de 'FB_ESTRELLATRIANGULO').</t>
        </is>
      </c>
      <c r="C7" s="41" t="n">
        <v>0</v>
      </c>
      <c r="D7" s="41" t="n">
        <v>1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Entradas/salidas declaradas en VAR (interfaz no conforme); además el TON se llama con IN:=FALSE en cada scan y nunca vence, así que no sale de estrella.</t>
        </is>
      </c>
      <c r="J7" s="42" t="inlineStr">
        <is>
          <t>Temporizadores reseteados cada ciclo: el estado 1 queda muerto; además exige mantener btnMarcha.</t>
        </is>
      </c>
      <c r="K7" s="42" t="inlineStr">
        <is>
          <t>Comentarios presentes pero E/S mezcladas en VAR rompen la estructura del FB.</t>
        </is>
      </c>
      <c r="L7" s="42" t="inlineStr">
        <is>
          <t>Literales y estados mágicos; la lógica de reset está duplicada.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I4-5661</t>
        </is>
      </c>
      <c r="B8" s="39" t="inlineStr">
        <is>
          <t>Compila. Falla 2 de 6 pasos del harness (pasos 1,3; numerados desde 0).</t>
        </is>
      </c>
      <c r="C8" s="41" t="n">
        <v>0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la fase estrella y el tiempo muerto (pasos 1,3): uso de TP llamado una sola vez hace que la transición sea casi inmediata; declaraciones correctas pero uso no idiomático de temporizadores.</t>
        </is>
      </c>
      <c r="J8" s="42" t="inlineStr">
        <is>
          <t>TP con llamada condicional da Q obsoleto y salta las temporizaciones; exige mantener btnMarcha.</t>
        </is>
      </c>
      <c r="K8" s="42" t="inlineStr">
        <is>
          <t>Estados documentados y comentarios útiles.</t>
        </is>
      </c>
      <c r="L8" s="42" t="inlineStr">
        <is>
          <t>Números de estado mágicos sin constantes.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I4-1792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Pasa todo; TON correctamente usados y reseteados, idiomático.</t>
        </is>
      </c>
      <c r="J9" s="42" t="inlineStr">
        <is>
          <t>Paro evaluado en cada estado, estado por defecto seguro, salidas definidas en cada estado.</t>
        </is>
      </c>
      <c r="K9" s="42" t="inlineStr">
        <is>
          <t>Secciones y estados bien comentados; estados INT sin nombres simbólicos.</t>
        </is>
      </c>
      <c r="L9" s="42" t="inlineStr">
        <is>
          <t>Literales de tiempo repetidos y estados numéricos mágicos.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I4-7740</t>
        </is>
      </c>
      <c r="B10" s="39" t="inlineStr">
        <is>
          <t>Compila. Falla 3 de 6 pasos del harness (pasos 2,3,4;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No sale de estrella ni para fuera del estado 3 (pasos 2,3,4): el TON se resetea cada scan; compila con tipos correctos pero llamadas condicionales al FB.</t>
        </is>
      </c>
      <c r="J10" s="42" t="inlineStr">
        <is>
          <t>Temporizador reseteado en cada ciclo deja el estado 1 muerto y el paro solo actúa en el estado 3.</t>
        </is>
      </c>
      <c r="K10" s="42" t="inlineStr">
        <is>
          <t>Comentario 'Inicialización' incorrecto: se ejecuta en cada scan.</t>
        </is>
      </c>
      <c r="L10" s="42" t="inlineStr">
        <is>
          <t>Literales y estados mágicos dispersos.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I4-3109</t>
        </is>
      </c>
      <c r="B11" s="39" t="inlineStr">
        <is>
          <t>Compila. Falla 3 de 6 pasos del harness (pasos 2,3,5;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Falla transición a triángulo y rearranque (pasos 2,3,5): el TON solo se invoca en el estado 0 y nunca actualiza Q.</t>
        </is>
      </c>
      <c r="J11" s="42" t="inlineStr">
        <is>
          <t>Temporizador no se vuelve a llamar: el estado 1 es un estado muerto; exige mantener btnMarcha.</t>
        </is>
      </c>
      <c r="K11" s="42" t="inlineStr">
        <is>
          <t>Nombres y comentarios razonables.</t>
        </is>
      </c>
      <c r="L11" s="42" t="inlineStr">
        <is>
          <t>Estados mágicos; sin parámetros.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I4-4531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Pasa todo; TON llamados incondicionalmente, idiomático.</t>
        </is>
      </c>
      <c r="J12" s="42" t="inlineStr">
        <is>
          <t>Enclavamiento mutuo explícito kY/kD, paro con prioridad, sin estados muertos.</t>
        </is>
      </c>
      <c r="K12" s="42" t="inlineStr">
        <is>
          <t>Secciones numeradas y comentarios que explican el porqué de cada enclavamiento.</t>
        </is>
      </c>
      <c r="L12" s="42" t="inlineStr">
        <is>
          <t>Cada literal aparece una sola vez y la lógica es compacta; tiempos no expuestos como parámetros.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I4-6607</t>
        </is>
      </c>
      <c r="B13" s="39" t="inlineStr">
        <is>
          <t>Compila. Falla 3 de 6 pasos del harness (pasos 2,3,5;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triángulo y rearranque (pasos 2,3,5): TON invocado solo en el estado 0, Q nunca se actualiza.</t>
        </is>
      </c>
      <c r="J13" s="42" t="inlineStr">
        <is>
          <t>Estado 1 muerto por temporizador no evaluado.</t>
        </is>
      </c>
      <c r="K13" s="42" t="inlineStr">
        <is>
          <t>Nombres y comentarios correctos y ordenados.</t>
        </is>
      </c>
      <c r="L13" s="42" t="inlineStr">
        <is>
          <t>Estados numéricos mágicos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I4-6264</t>
        </is>
      </c>
      <c r="B14" s="39" t="inlineStr">
        <is>
          <t>Compila. Falla 3 de 6 pasos del harness (pasos 2,3,5; numerados desde 0).</t>
        </is>
      </c>
      <c r="C14" s="41" t="n">
        <v>0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triángulo y rearranque (pasos 2,3,5): TON invocado solo en el estado 0, nunca vence.</t>
        </is>
      </c>
      <c r="J14" s="42" t="inlineStr">
        <is>
          <t>Estado 1 muerto por temporizador no evaluado.</t>
        </is>
      </c>
      <c r="K14" s="42" t="inlineStr">
        <is>
          <t>Nombres y comentarios correctos y ordenados.</t>
        </is>
      </c>
      <c r="L14" s="42" t="inlineStr">
        <is>
          <t>Estados numéricos mágicos sin constantes.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I4-2405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2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todo; enclavamiento marcha/paro y TON en cascada, idiomático.</t>
        </is>
      </c>
      <c r="J15" s="42" t="inlineStr">
        <is>
          <t>Coherente y con paro prioritario; la exclusión kY/kD es solo estructural, sin interlock explícito.</t>
        </is>
      </c>
      <c r="K15" s="42" t="inlineStr">
        <is>
          <t>Secciones claras y nota de seguridad que explica por qué no hay solape.</t>
        </is>
      </c>
      <c r="L15" s="42" t="inlineStr">
        <is>
          <t>Literales únicos y lógica sin duplicación; tiempos no parametrizados.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I4-2644</t>
        </is>
      </c>
      <c r="B16" s="39" t="inlineStr">
        <is>
          <t>Compila. Pasa los 6 pasos del harness.</t>
        </is>
      </c>
      <c r="C16" s="40" t="n">
        <v>3</v>
      </c>
      <c r="D16" s="41" t="n">
        <v>3</v>
      </c>
      <c r="E16" s="41" t="n">
        <v>2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todo; idiomático.</t>
        </is>
      </c>
      <c r="J16" s="42" t="inlineStr">
        <is>
          <t>Coherente y con paro prioritario; exclusión kY/kD solo por construcción, sin interlock explícito.</t>
        </is>
      </c>
      <c r="K16" s="42" t="inlineStr">
        <is>
          <t>Secciones claras y nota que justifica la separación mínima.</t>
        </is>
      </c>
      <c r="L16" s="42" t="inlineStr">
        <is>
          <t>Literales únicos, sin duplicación; tiempos no parametrizados.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I4-1547</t>
        </is>
      </c>
      <c r="B17" s="39" t="inlineStr">
        <is>
          <t>Compila sola, pero no se pudo simular: declara las entradas donde el harness no puede escribirlas ('btnMarcha' no es ninguna entrada de 'FB_ESTRELLATRIANGULO').</t>
        </is>
      </c>
      <c r="C17" s="41" t="n">
        <v>0</v>
      </c>
      <c r="D17" s="41" t="n">
        <v>1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E/S declaradas en VAR (interfaz no conforme); el TON se resetea cada scan y nunca vence.</t>
        </is>
      </c>
      <c r="J17" s="42" t="inlineStr">
        <is>
          <t>Temporizadores reseteados en cada ciclo: estado 1 muerto; exige mantener btnMarcha.</t>
        </is>
      </c>
      <c r="K17" s="42" t="inlineStr">
        <is>
          <t>Comentarios presentes pero E/S en VAR rompen la interfaz del FB.</t>
        </is>
      </c>
      <c r="L17" s="42" t="inlineStr">
        <is>
          <t>Literales y estados mágicos.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I4-6164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39" t="inlineStr"/>
      <c r="J18" s="42" t="inlineStr">
        <is>
          <t>Uso de TP con llamada única hace la temporización inefectiva y exige mantener btnMarcha; enclavamiento final presente.</t>
        </is>
      </c>
      <c r="K18" s="42" t="inlineStr">
        <is>
          <t>Intenta estados con nombre y comentarios útiles.</t>
        </is>
      </c>
      <c r="L18" s="42" t="inlineStr">
        <is>
          <t>Estados con nombres simbólicos (aunque con sintaxis CONST inválida).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I4-8729</t>
        </is>
      </c>
      <c r="B19" s="39" t="inlineStr">
        <is>
          <t>Compila. Falla 2 de 6 pasos del harness (pasos 2,3; numerados desde 0).</t>
        </is>
      </c>
      <c r="C19" s="41" t="n">
        <v>0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No sale de estrella (pasos 2,3): los TON se resetean en cada scan; incluye un temporizador declarado y sin uso.</t>
        </is>
      </c>
      <c r="J19" s="42" t="inlineStr">
        <is>
          <t>Temporizador reseteado cada ciclo deja el estado 1 muerto; timerDelta sin uso.</t>
        </is>
      </c>
      <c r="K19" s="42" t="inlineStr">
        <is>
          <t>Bloque de paro copiado en cada estado y comentario de inicialización engañoso.</t>
        </is>
      </c>
      <c r="L19" s="42" t="inlineStr">
        <is>
          <t>Lógica de paro duplicada cuatro veces y estados mágicos.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I4-6563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todo; idiomático.</t>
        </is>
      </c>
      <c r="J20" s="42" t="inlineStr">
        <is>
          <t>Paro prioritario y enclavamiento mutuo explícito en kY y kD.</t>
        </is>
      </c>
      <c r="K20" s="42" t="inlineStr">
        <is>
          <t>Compacto y comentado, aunque usa la propia salida kM como memoria.</t>
        </is>
      </c>
      <c r="L20" s="42" t="inlineStr">
        <is>
          <t>Literales únicos,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I4-4147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Pasa todo; idiomático.</t>
        </is>
      </c>
      <c r="J21" s="42" t="inlineStr">
        <is>
          <t>Paro prioritario y kD enclavado con NOT kY; sin estados muertos.</t>
        </is>
      </c>
      <c r="K21" s="42" t="inlineStr">
        <is>
          <t>Secciones y comentarios que explican cada salida y la no simultaneidad.</t>
        </is>
      </c>
      <c r="L21" s="42" t="inlineStr">
        <is>
          <t>Literales únicos y sin duplicación; tiempos no parametrizados.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I4-3062</t>
        </is>
      </c>
      <c r="B22" s="39" t="inlineStr">
        <is>
          <t>Compila. Falla 2 de 6 pasos del harness (pasos 1,3; numerados desde 0).</t>
        </is>
      </c>
      <c r="C22" s="41" t="n">
        <v>0</v>
      </c>
      <c r="D22" s="41" t="n">
        <v>2</v>
      </c>
      <c r="E22" s="41" t="n">
        <v>0</v>
      </c>
      <c r="F22" s="41" t="n">
        <v>1</v>
      </c>
      <c r="G22" s="41" t="n">
        <v>1</v>
      </c>
      <c r="H22" s="40">
        <f>IF(COUNT(C22:G22)=5,SUM(C22:G22),"")</f>
        <v/>
      </c>
      <c r="I22" s="42" t="inlineStr">
        <is>
          <t>Falla fase estrella y tiempo muerto (pasos 1,3): TP invocado una vez da transiciones inmediatas.</t>
        </is>
      </c>
      <c r="J22" s="42" t="inlineStr">
        <is>
          <t>btnParo en ELSIF tras btnMarcha: con ambos pulsados en reposo arranca; TP mal usado.</t>
        </is>
      </c>
      <c r="K22" s="42" t="inlineStr">
        <is>
          <t>Pseudo-estados con IF sueltos; estructura poco clara.</t>
        </is>
      </c>
      <c r="L22" s="42" t="inlineStr">
        <is>
          <t>Estados mágicos y literales sin parametrizar.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I4-2763</t>
        </is>
      </c>
      <c r="B23" s="39" t="inlineStr">
        <is>
          <t>Compila. Falla 1 de 6 pasos del harness (pasos 5;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 en el caso nominal pero falla el rearranque (paso 5): asigna .IN := FALSE sin llamar al TON, que no se resetea y salta a triángulo.</t>
        </is>
      </c>
      <c r="J23" s="42" t="inlineStr">
        <is>
          <t>Reset de temporizador ineficaz deja Q obsoleto en el rearranque; comentario del estado 2 contradictorio.</t>
        </is>
      </c>
      <c r="K23" s="42" t="inlineStr">
        <is>
          <t>Estados documentados y secciones claras.</t>
        </is>
      </c>
      <c r="L23" s="42" t="inlineStr">
        <is>
          <t>Literales repetidos y estados numéricos mágicos.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I4-8365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todo; idiomático.</t>
        </is>
      </c>
      <c r="J24" s="42" t="inlineStr">
        <is>
          <t>Paro prioritario y enclavamiento mutuo explícito.</t>
        </is>
      </c>
      <c r="K24" s="42" t="inlineStr">
        <is>
          <t>Correcto y legible pero con comentarios mínimos.</t>
        </is>
      </c>
      <c r="L24" s="42" t="inlineStr">
        <is>
          <t>Literales únicos, sin duplicación.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I4-2920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Pasa todo; idiomático.</t>
        </is>
      </c>
      <c r="J25" s="42" t="inlineStr">
        <is>
          <t>Paro prioritario, enclavamiento mutuo explícito, sin estados muertos.</t>
        </is>
      </c>
      <c r="K25" s="42" t="inlineStr">
        <is>
          <t>Nombres con prefijos de tipo y comentarios que explican el porqué de cada enclavamiento.</t>
        </is>
      </c>
      <c r="L25" s="42" t="inlineStr">
        <is>
          <t>Literales únicos, sin duplicación; tiempos no parametrizados.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I4-7806</t>
        </is>
      </c>
      <c r="B26" s="39" t="inlineStr">
        <is>
          <t>Compila. Falla 3 de 6 pasos del harness (pasos 2,3,5;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Falla triángulo y rearranque (pasos 2,3,5): TON invocado solo en el estado 0 y Q nunca se actualiza.</t>
        </is>
      </c>
      <c r="J26" s="42" t="inlineStr">
        <is>
          <t>Estado 1 muerto por temporizador no evaluado.</t>
        </is>
      </c>
      <c r="K26" s="42" t="inlineStr">
        <is>
          <t>Comentarios abundantes y nombres claros.</t>
        </is>
      </c>
      <c r="L26" s="42" t="inlineStr">
        <is>
          <t>Estados mágicos sin constantes.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I4-7176</t>
        </is>
      </c>
      <c r="B27" s="39" t="inlineStr">
        <is>
          <t>No compila (2 errores).</t>
        </is>
      </c>
      <c r="C27" s="40" t="n">
        <v>0</v>
      </c>
      <c r="D27" s="40" t="n">
        <v>0</v>
      </c>
      <c r="E27" s="41" t="n">
        <v>0</v>
      </c>
      <c r="F27" s="41" t="n">
        <v>2</v>
      </c>
      <c r="G27" s="41" t="n">
        <v>2</v>
      </c>
      <c r="H27" s="40">
        <f>IF(COUNT(C27:G27)=5,SUM(C27:G27),"")</f>
        <v/>
      </c>
      <c r="I27" s="39" t="inlineStr"/>
      <c r="J27" s="42" t="inlineStr">
        <is>
          <t>El TON solo se invoca al arrancar, por lo que el estado de estrella nunca termina.</t>
        </is>
      </c>
      <c r="K27" s="42" t="inlineStr">
        <is>
          <t>Estados con nombre simbólico y comentarios útiles.</t>
        </is>
      </c>
      <c r="L27" s="42" t="inlineStr">
        <is>
          <t>Estados nombrados (aunque con sintaxis CONST inválida).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I4-8454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Pasa todo; idiomático.</t>
        </is>
      </c>
      <c r="J28" s="42" t="inlineStr">
        <is>
          <t>Paro prioritario y enclavamiento mutuo explícito.</t>
        </is>
      </c>
      <c r="K28" s="42" t="inlineStr">
        <is>
          <t>Legible pero con comentarios mínimos.</t>
        </is>
      </c>
      <c r="L28" s="42" t="inlineStr">
        <is>
          <t>Literales únicos, sin duplicación.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I4-1208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Pasa todo; idiomático.</t>
        </is>
      </c>
      <c r="J29" s="42" t="inlineStr">
        <is>
          <t>Paro prioritario y enclavamiento mutuo explícito.</t>
        </is>
      </c>
      <c r="K29" s="42" t="inlineStr">
        <is>
          <t>Secciones numeradas y comentarios que explican el porqué.</t>
        </is>
      </c>
      <c r="L29" s="42" t="inlineStr">
        <is>
          <t>Literales únicos, sin duplicación; tiempos no parametrizados.</t>
        </is>
      </c>
      <c r="M29" s="42" t="n"/>
      <c r="N29" s="40">
        <f>IF(COUNT(C29:G29)=5,"Completa","Falta")</f>
        <v/>
      </c>
    </row>
    <row r="30"/>
  </sheetData>
  <dataValidations count="3">
    <dataValidation sqref="C7:C8 C10:C11 C13:C14 C17 C19 C22:C23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7 D19:D26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I5 — Banda con clasificación por sensores (Intermedio)</t>
        </is>
      </c>
    </row>
    <row r="2" ht="15" customHeight="1" s="22">
      <c r="A2" s="33" t="inlineStr">
        <is>
          <t>Lee cada respuesta por su código en respuestas/Respuestas_I5.html.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I5-9795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0</v>
      </c>
      <c r="F6" s="41" t="n">
        <v>1</v>
      </c>
      <c r="G6" s="41" t="n">
        <v>1</v>
      </c>
      <c r="H6" s="40">
        <f>IF(COUNT(C6:G6)=5,SUM(C6:G6),"")</f>
        <v/>
      </c>
      <c r="I6" s="42" t="inlineStr">
        <is>
          <t>Pasa todo; R_TRIG, TON y TP bien instanciados, idiomático.</t>
        </is>
      </c>
      <c r="J6" s="42" t="inlineStr">
        <is>
          <t>Las dos condiciones de limpieza de bPiezaAlta nunca se cumplen (exigen tRetardo.Q falso con IN activo): tras la primera pieza alta el desviador no vuelve a dispararse.</t>
        </is>
      </c>
      <c r="K6" s="42" t="inlineStr">
        <is>
          <t>Comentarios que afirman limpiar la bandera cuando el código no lo hace.</t>
        </is>
      </c>
      <c r="L6" s="42" t="inlineStr">
        <is>
          <t>Lógica de limpieza redundante y muerta que dificulta modificar el FB.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I5-6031</t>
        </is>
      </c>
      <c r="B7" s="39" t="inlineStr">
        <is>
          <t>Compila. Pasa los 7 pasos del harness.</t>
        </is>
      </c>
      <c r="C7" s="40" t="n">
        <v>3</v>
      </c>
      <c r="D7" s="41" t="n">
        <v>3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Pasa todo; R_TRIG + TON + TP, idiomático.</t>
        </is>
      </c>
      <c r="J7" s="42" t="inlineStr">
        <is>
          <t>Coherente y con flanco único; una segunda pieza alta dentro de los 2 s no reinicia el retardo.</t>
        </is>
      </c>
      <c r="K7" s="42" t="inlineStr">
        <is>
          <t>Nombres descriptivos y comentarios útiles con el porqué del flanco.</t>
        </is>
      </c>
      <c r="L7" s="42" t="inlineStr">
        <is>
          <t>Literales en un único sitio y sin duplicación; tiempos no parametrizados.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I5-2725</t>
        </is>
      </c>
      <c r="B8" s="39" t="inlineStr">
        <is>
          <t>No compila (4 errores).</t>
        </is>
      </c>
      <c r="C8" s="40" t="n">
        <v>0</v>
      </c>
      <c r="D8" s="40" t="n">
        <v>0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39" t="inlineStr"/>
      <c r="J8" s="42" t="inlineStr">
        <is>
          <t>Temporizadores reseteados en cada scan nunca vencen; la altura se evalúa a los 2 s y no en la detección.</t>
        </is>
      </c>
      <c r="K8" s="42" t="inlineStr">
        <is>
          <t>Comentario de 'inicialización' engañoso y flujo confuso.</t>
        </is>
      </c>
      <c r="L8" s="42" t="inlineStr">
        <is>
          <t>Lógica de temporización dispersa en varias ramas.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I5-5960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2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Pasa todo; idiomático.</t>
        </is>
      </c>
      <c r="J9" s="42" t="inlineStr">
        <is>
          <t>Coherente; segunda pieza alta dentro del retardo no se reprograma.</t>
        </is>
      </c>
      <c r="K9" s="42" t="inlineStr">
        <is>
          <t>Secciones numeradas y comentarios que explican el porqué de cada paso.</t>
        </is>
      </c>
      <c r="L9" s="42" t="inlineStr">
        <is>
          <t>Literales únicos y sin duplicación; tiempos no parametrizados.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I5-5429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Pasa todo; compila con tipos correctos pero usa un TON leyendo .IN AND NOT .Q como pulso en lugar de TP.</t>
        </is>
      </c>
      <c r="J10" s="42" t="inlineStr">
        <is>
          <t>Coherente; piezas altas solapadas se fusionan en un solo ciclo de desvío.</t>
        </is>
      </c>
      <c r="K10" s="42" t="inlineStr">
        <is>
          <t>Secciones con cabeceras y comentarios claros.</t>
        </is>
      </c>
      <c r="L10" s="42" t="inlineStr">
        <is>
          <t>Literales únicos y sin duplicación.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I5-7024</t>
        </is>
      </c>
      <c r="B11" s="39" t="inlineStr">
        <is>
          <t>Compila. Falla 3 de 7 pasos del harness (pasos 3,4,5; numerados desde 0).</t>
        </is>
      </c>
      <c r="C11" s="41" t="n">
        <v>0</v>
      </c>
      <c r="D11" s="41" t="n">
        <v>2</v>
      </c>
      <c r="E11" s="41" t="n">
        <v>1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Cuenta las altas solo al terminar el pistón y el desvío no ocurre en la ventana (pasos 3,4,5); asigna .IN de los TON fuera de la llamada.</t>
        </is>
      </c>
      <c r="J11" s="42" t="inlineStr">
        <is>
          <t>Asignaciones a .IN sin efecto y bandera bContado redundante; conteo de altas desplazado.</t>
        </is>
      </c>
      <c r="K11" s="42" t="inlineStr">
        <is>
          <t>Secciones numeradas y comentarios descriptivos.</t>
        </is>
      </c>
      <c r="L11" s="42" t="inlineStr">
        <is>
          <t>Conteo repartido en dos lugares y resets ineficaces dificultan cambios.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I5-3559</t>
        </is>
      </c>
      <c r="B12" s="39" t="inlineStr">
        <is>
          <t>Compila. Falla 6 de 7 pasos del harness (pasos 1,2,3,4,5,6; numerados desde 0).</t>
        </is>
      </c>
      <c r="C12" s="41" t="n">
        <v>0</v>
      </c>
      <c r="D12" s="41" t="n">
        <v>2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Falla casi todo (pasos 1-6): el TON se llama una sola vez y nunca vence, y el conteo se hace tras el retardo.</t>
        </is>
      </c>
      <c r="J12" s="42" t="inlineStr">
        <is>
          <t>Temporizador no reevaluado: el retardo nunca termina y nada se cuenta.</t>
        </is>
      </c>
      <c r="K12" s="42" t="inlineStr">
        <is>
          <t>Comentario 'inicialización' erróneo y lógica del pistón confusa.</t>
        </is>
      </c>
      <c r="L12" s="42" t="inlineStr">
        <is>
          <t>Lógica rehecha en ramas condicionales; requiere reescritura.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I5-2602</t>
        </is>
      </c>
      <c r="B13" s="39" t="inlineStr">
        <is>
          <t>Compila. Falla 6 de 7 pasos del harness (pasos 1,2,3,4,5,6;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pasos 1-6: sin detección de flanco cuenta en cada scan y el TON solo se evalúa mientras hay presencia.</t>
        </is>
      </c>
      <c r="J13" s="42" t="inlineStr">
        <is>
          <t>Conteo por nivel y temporizador evaluado condicionalmente: contradictorio con el enunciado.</t>
        </is>
      </c>
      <c r="K13" s="42" t="inlineStr">
        <is>
          <t>Nombres y comentarios claros.</t>
        </is>
      </c>
      <c r="L13" s="42" t="inlineStr">
        <is>
          <t>Diseño base erróneo que exige rehacer la lógica.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I5-3769</t>
        </is>
      </c>
      <c r="B14" s="39" t="inlineStr">
        <is>
          <t>Compila. Falla 6 de 7 pasos del harness (pasos 1,2,3,4,5,6; numerados desde 0).</t>
        </is>
      </c>
      <c r="C14" s="41" t="n">
        <v>0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pasos 1-6: conteo por nivel en cada scan y TON llamado solo con presencia.</t>
        </is>
      </c>
      <c r="J14" s="42" t="inlineStr">
        <is>
          <t>Conteo repetido por scan y temporizadores que no avanzan sin presencia.</t>
        </is>
      </c>
      <c r="K14" s="42" t="inlineStr">
        <is>
          <t>Nombres y comentarios claros.</t>
        </is>
      </c>
      <c r="L14" s="42" t="inlineStr">
        <is>
          <t>Diseño base erróneo que exige rehacer la lógica.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I5-4146</t>
        </is>
      </c>
      <c r="B15" s="39" t="inlineStr">
        <is>
          <t>Compila. Falla 4 de 7 pasos del harness (pasos 3,4,5,6; numerados desde 0).</t>
        </is>
      </c>
      <c r="C15" s="41" t="n">
        <v>0</v>
      </c>
      <c r="D15" s="41" t="n">
        <v>2</v>
      </c>
      <c r="E15" s="41" t="n">
        <v>0</v>
      </c>
      <c r="F15" s="41" t="n">
        <v>1</v>
      </c>
      <c r="G15" s="41" t="n">
        <v>1</v>
      </c>
      <c r="H15" s="40">
        <f>IF(COUNT(C15:G15)=5,SUM(C15:G15),"")</f>
        <v/>
      </c>
      <c r="I15" s="42" t="inlineStr">
        <is>
          <t>Falla las piezas altas (pasos 3-6): TON reseteados al inicio de cada scan, el pistón se activa sin retardo y nAltas se cuenta al final.</t>
        </is>
      </c>
      <c r="J15" s="42" t="inlineStr">
        <is>
          <t>Temporizadores nunca vencen y el pistón queda activo indefinidamente.</t>
        </is>
      </c>
      <c r="K15" s="42" t="inlineStr">
        <is>
          <t>Comentario de inicialización incorrecto y banda asignada dos veces.</t>
        </is>
      </c>
      <c r="L15" s="42" t="inlineStr">
        <is>
          <t>Llamadas a temporizadores repetidas en varias ramas.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I5-8743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2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todo; idiomático.</t>
        </is>
      </c>
      <c r="J16" s="42" t="inlineStr">
        <is>
          <t>Coherente; segunda pieza alta dentro del retardo no se reprograma.</t>
        </is>
      </c>
      <c r="K16" s="42" t="inlineStr">
        <is>
          <t>Secciones numeradas y comentarios con el porqué.</t>
        </is>
      </c>
      <c r="L16" s="42" t="inlineStr">
        <is>
          <t>Literales únicos y sin duplicación; tiempos no parametrizados.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I5-3551</t>
        </is>
      </c>
      <c r="B17" s="39" t="inlineStr">
        <is>
          <t>Compila. Falla 7 de 7 pasos del harness (pasos 0,1,2,3,4,5,6; numerados desde 0).</t>
        </is>
      </c>
      <c r="C17" s="41" t="n">
        <v>0</v>
      </c>
      <c r="D17" s="41" t="n">
        <v>2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Falla todos los pasos: nBajas se incrementa en cada scan y los TP se llaman condicionalmente.</t>
        </is>
      </c>
      <c r="J17" s="42" t="inlineStr">
        <is>
          <t>La rama ELSE cuenta una pieza baja en cada ciclo; la altura se lee a los 2 s.</t>
        </is>
      </c>
      <c r="K17" s="42" t="inlineStr">
        <is>
          <t>Comentarios que no corresponden al comportamiento real.</t>
        </is>
      </c>
      <c r="L17" s="42" t="inlineStr">
        <is>
          <t>Diseño erróneo que exige reescritura.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I5-3570</t>
        </is>
      </c>
      <c r="B18" s="39" t="inlineStr">
        <is>
          <t>No compila (4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Temporizadores reseteados cuando cae la presencia, por lo que el retardo se pierde; altura evaluada tarde.</t>
        </is>
      </c>
      <c r="K18" s="42" t="inlineStr">
        <is>
          <t>Nombres crípticos timer1/timer2.</t>
        </is>
      </c>
      <c r="L18" s="42" t="inlineStr">
        <is>
          <t>Llamadas a temporizadores dispersas y literales en llamadas separadas.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I5-9566</t>
        </is>
      </c>
      <c r="B19" s="39" t="inlineStr">
        <is>
          <t>Compila. Falla 4 de 7 pasos del harness (pasos 3,4,5,6;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Falla las piezas altas (pasos 3-6): el TON de retardo se llama una sola vez y nunca vence.</t>
        </is>
      </c>
      <c r="J19" s="42" t="inlineStr">
        <is>
          <t>Temporizador no reevaluado deja el desvío sin ejecutarse y nAltas sin contar.</t>
        </is>
      </c>
      <c r="K19" s="42" t="inlineStr">
        <is>
          <t>Nombres y comentarios claros.</t>
        </is>
      </c>
      <c r="L19" s="42" t="inlineStr">
        <is>
          <t>Lógica condicional de temporizadores que requiere rehacerse.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I5-2807</t>
        </is>
      </c>
      <c r="B20" s="39" t="inlineStr">
        <is>
          <t>Compila. Falla 6 de 7 pasos del harness (pasos 1,2,3,4,5,6; numerados desde 0).</t>
        </is>
      </c>
      <c r="C20" s="41" t="n">
        <v>0</v>
      </c>
      <c r="D20" s="41" t="n">
        <v>2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Falla pasos 1-6: el TP de 2 s activa el pistón de inmediato y para todas las piezas.</t>
        </is>
      </c>
      <c r="J20" s="42" t="inlineStr">
        <is>
          <t>El pistón se activa también con piezas bajas y antes del retardo; TP usado al revés.</t>
        </is>
      </c>
      <c r="K20" s="42" t="inlineStr">
        <is>
          <t>Nombres y comentarios razonables.</t>
        </is>
      </c>
      <c r="L20" s="42" t="inlineStr">
        <is>
          <t>Diseño de temporización erróneo que exige rehacerlo.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I5-9964</t>
        </is>
      </c>
      <c r="B21" s="39" t="inlineStr">
        <is>
          <t>Compila. Falla 6 de 7 pasos del harness (pasos 1,2,3,4,5,6; numerados desde 0).</t>
        </is>
      </c>
      <c r="C21" s="41" t="n">
        <v>0</v>
      </c>
      <c r="D21" s="41" t="n">
        <v>1</v>
      </c>
      <c r="E21" s="41" t="n">
        <v>0</v>
      </c>
      <c r="F21" s="41" t="n">
        <v>1</v>
      </c>
      <c r="G21" s="41" t="n">
        <v>1</v>
      </c>
      <c r="H21" s="40">
        <f>IF(COUNT(C21:G21)=5,SUM(C21:G21),"")</f>
        <v/>
      </c>
      <c r="I21" s="42" t="inlineStr">
        <is>
          <t>nAltas y nBajas declarados en VAR en lugar de VAR_OUTPUT (interfaz no conforme); el TON se llama una vez y el estado 1 nunca termina.</t>
        </is>
      </c>
      <c r="J21" s="42" t="inlineStr">
        <is>
          <t>Estado 1 muerto por temporizador no reevaluado; altura leída a los 2 s.</t>
        </is>
      </c>
      <c r="K21" s="42" t="inlineStr">
        <is>
          <t>Nombres crípticos timer1/timer2 y E/S fuera de su sección.</t>
        </is>
      </c>
      <c r="L21" s="42" t="inlineStr">
        <is>
          <t>Estados mágicos y temporizadores dispersos.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I5-4776</t>
        </is>
      </c>
      <c r="B22" s="39" t="inlineStr">
        <is>
          <t>Compila. Pasa los 7 pasos del harness.</t>
        </is>
      </c>
      <c r="C22" s="40" t="n">
        <v>3</v>
      </c>
      <c r="D22" s="41" t="n">
        <v>3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Pasa todo; R_TRIG, TP y F_TRIG bien combinados, idiomático.</t>
        </is>
      </c>
      <c r="J22" s="42" t="inlineStr">
        <is>
          <t>Coherente; el TP no es redisparable, una segunda pieza alta dentro de 2 s se pierde.</t>
        </is>
      </c>
      <c r="K22" s="42" t="inlineStr">
        <is>
          <t>Comentarios claros y breves.</t>
        </is>
      </c>
      <c r="L22" s="42" t="inlineStr">
        <is>
          <t>Literales únicos y sin duplicación.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I5-8715</t>
        </is>
      </c>
      <c r="B23" s="39" t="inlineStr">
        <is>
          <t>Compila. Falla 1 de 7 pasos del harness (pasos 5; numerados desde 0).</t>
        </is>
      </c>
      <c r="C23" s="41" t="n">
        <v>0</v>
      </c>
      <c r="D23" s="41" t="n">
        <v>2</v>
      </c>
      <c r="E23" s="41" t="n">
        <v>0</v>
      </c>
      <c r="F23" s="41" t="n">
        <v>1</v>
      </c>
      <c r="G23" s="41" t="n">
        <v>2</v>
      </c>
      <c r="H23" s="40">
        <f>IF(COUNT(C23:G23)=5,SUM(C23:G23),"")</f>
        <v/>
      </c>
      <c r="I23" s="42" t="inlineStr">
        <is>
          <t>El pistón nunca se activa (paso 5): el TON de retardo se resetea en el mismo scan antes de disparar el del pistón; llamadas múltiples por scan.</t>
        </is>
      </c>
      <c r="J23" s="42" t="inlineStr">
        <is>
          <t>El reset inmediato de tRetardo anula la condición que debía arrancar tPiston: contradicción que deja sin desvío.</t>
        </is>
      </c>
      <c r="K23" s="42" t="inlineStr">
        <is>
          <t>Buena estructura pero la nota sobre el ciclo de tRetardo.Q es incorrecta.</t>
        </is>
      </c>
      <c r="L23" s="42" t="inlineStr">
        <is>
          <t>Literales únicos; el fallo es localizado.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I5-6743</t>
        </is>
      </c>
      <c r="B24" s="39" t="inlineStr">
        <is>
          <t>Compila. Pasa los 7 pasos del harness.</t>
        </is>
      </c>
      <c r="C24" s="40" t="n">
        <v>3</v>
      </c>
      <c r="D24" s="41" t="n">
        <v>3</v>
      </c>
      <c r="E24" s="41" t="n">
        <v>2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todo; idiomático.</t>
        </is>
      </c>
      <c r="J24" s="42" t="inlineStr">
        <is>
          <t>Coherente; el TP de retardo no se redispara con piezas altas solapadas.</t>
        </is>
      </c>
      <c r="K24" s="42" t="inlineStr">
        <is>
          <t>Nombres descriptivos y comentarios útiles.</t>
        </is>
      </c>
      <c r="L24" s="42" t="inlineStr">
        <is>
          <t>Literales únicos y sin duplicación.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I5-6738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todo; idiomático.</t>
        </is>
      </c>
      <c r="J25" s="42" t="inlineStr">
        <is>
          <t>Una pieza baja que llegue durante el retardo pone bEsAlta a FALSE y cancela el desvío de la pieza alta previa.</t>
        </is>
      </c>
      <c r="K25" s="42" t="inlineStr">
        <is>
          <t>Comentarios claros por bloque.</t>
        </is>
      </c>
      <c r="L25" s="42" t="inlineStr">
        <is>
          <t>Literales únicos y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I5-6315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idiomático.</t>
        </is>
      </c>
      <c r="J26" s="42" t="inlineStr">
        <is>
          <t>Coherente; la bandera se limpia al terminar el pulso, aunque no gestiona piezas altas solapadas.</t>
        </is>
      </c>
      <c r="K26" s="42" t="inlineStr">
        <is>
          <t>Comentarios útiles, algo redundantes en la limpieza.</t>
        </is>
      </c>
      <c r="L26" s="42" t="inlineStr">
        <is>
          <t>Literales únicos y sin duplicación.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I5-3665</t>
        </is>
      </c>
      <c r="B27" s="39" t="inlineStr">
        <is>
          <t>Compila. Pasa los 7 pasos del harness.</t>
        </is>
      </c>
      <c r="C27" s="40" t="n">
        <v>3</v>
      </c>
      <c r="D27" s="41" t="n">
        <v>3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Pasa todo; idiomático.</t>
        </is>
      </c>
      <c r="J27" s="42" t="inlineStr">
        <is>
          <t>Coherente; el TP de retardo no se redispara con piezas altas solapadas.</t>
        </is>
      </c>
      <c r="K27" s="42" t="inlineStr">
        <is>
          <t>Nombres y comentarios claros.</t>
        </is>
      </c>
      <c r="L27" s="42" t="inlineStr">
        <is>
          <t>Literales únicos y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I5-2293</t>
        </is>
      </c>
      <c r="B28" s="39" t="inlineStr">
        <is>
          <t>Compila. Falla 6 de 7 pasos del harness (pasos 1,2,3,4,5,6;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pasos 1-6: conteo por nivel en cada scan y TON evaluado solo con presencia.</t>
        </is>
      </c>
      <c r="J28" s="42" t="inlineStr">
        <is>
          <t>Conteo repetido por scan y temporizador que no avanza sin presencia.</t>
        </is>
      </c>
      <c r="K28" s="42" t="inlineStr">
        <is>
          <t>Nombres y comentarios claros.</t>
        </is>
      </c>
      <c r="L28" s="42" t="inlineStr">
        <is>
          <t>Diseño base erróneo que exige reescritura.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I5-8675</t>
        </is>
      </c>
      <c r="B29" s="39" t="inlineStr">
        <is>
          <t>Compila. Falla 7 de 7 pasos del harness (pasos 0,1,2,3,4,5,6;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Falla todos los pasos: nBajas se incrementa en cada scan y TP llamados condicionalmente.</t>
        </is>
      </c>
      <c r="J29" s="42" t="inlineStr">
        <is>
          <t>La rama ELSE cuenta piezas bajas cada ciclo; altura leída a los 2 s.</t>
        </is>
      </c>
      <c r="K29" s="42" t="inlineStr">
        <is>
          <t>Comentarios que no reflejan el comportamiento.</t>
        </is>
      </c>
      <c r="L29" s="42" t="inlineStr">
        <is>
          <t>Diseño erróneo que exige reescritura.</t>
        </is>
      </c>
      <c r="M29" s="42" t="n"/>
      <c r="N29" s="40">
        <f>IF(COUNT(C29:G29)=5,"Completa","Falta")</f>
        <v/>
      </c>
    </row>
    <row r="30"/>
  </sheetData>
  <dataValidations count="3">
    <dataValidation sqref="C11:C15 C17 C19:C21 C23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7 D9:D17 D19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I6 — Escalado analógico con histéresis (Intermedio)</t>
        </is>
      </c>
    </row>
    <row r="2" ht="15" customHeight="1" s="22">
      <c r="A2" s="33" t="inlineStr">
        <is>
          <t>Lee cada respuesta por su código en respuestas/Respuestas_I6.html.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I6-6450</t>
        </is>
      </c>
      <c r="B6" s="39" t="inlineStr">
        <is>
          <t>Compila. Pasa los 8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Pasa todo; conversión explícita INT_TO_REAL y tipos correctos, idiomático.</t>
        </is>
      </c>
      <c r="J6" s="42" t="inlineStr">
        <is>
          <t>Alarma con prioridad sobre la histéresis y estado conservado en la banda.</t>
        </is>
      </c>
      <c r="K6" s="42" t="inlineStr">
        <is>
          <t>Breve, con comentarios útiles por bloque.</t>
        </is>
      </c>
      <c r="L6" s="42" t="inlineStr">
        <is>
          <t>Rango y umbrales como literales mágicos en el código.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I6-3905</t>
        </is>
      </c>
      <c r="B7" s="39" t="inlineStr">
        <is>
          <t>Compila. Pasa los 8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Pasa todo; conversión explícita INT_TO_REAL y tipos correctos, idiomático.</t>
        </is>
      </c>
      <c r="J7" s="42" t="inlineStr">
        <is>
          <t>Alarma prioritaria y histéresis correcta sin redundancias.</t>
        </is>
      </c>
      <c r="K7" s="42" t="inlineStr">
        <is>
          <t>Comentarios útiles por bloque.</t>
        </is>
      </c>
      <c r="L7" s="42" t="inlineStr">
        <is>
          <t>Rango y umbrales como literales.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I6-1333</t>
        </is>
      </c>
      <c r="B8" s="39" t="inlineStr">
        <is>
          <t>Compila. Pasa los 8 pasos del harness.</t>
        </is>
      </c>
      <c r="C8" s="40" t="n">
        <v>3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Pasa todo; compila con tipos correctos pero depende de conversión implícita INT→REAL en la aritmética.</t>
        </is>
      </c>
      <c r="J8" s="42" t="inlineStr">
        <is>
          <t>Histéresis mediante copia redundante enfriadorPrev y variable tempCPrev sin uso.</t>
        </is>
      </c>
      <c r="K8" s="42" t="inlineStr">
        <is>
          <t>Nombres descriptivos y comentarios claros, con variables sobrantes.</t>
        </is>
      </c>
      <c r="L8" s="42" t="inlineStr">
        <is>
          <t>Factor 276.48 derivado y umbrales literales.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I6-1644</t>
        </is>
      </c>
      <c r="B9" s="39" t="inlineStr">
        <is>
          <t>No compila (7 errores).</t>
        </is>
      </c>
      <c r="C9" s="40" t="n">
        <v>0</v>
      </c>
      <c r="D9" s="40" t="n">
        <v>0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39" t="inlineStr"/>
      <c r="J9" s="42" t="inlineStr">
        <is>
          <t>Lógica correcta pero con redundancias: 'enfriador := enfriador' y variable tempC_prev declarada sin uso.</t>
        </is>
      </c>
      <c r="K9" s="42" t="inlineStr">
        <is>
          <t>Comentarios y nombres adecuados.</t>
        </is>
      </c>
      <c r="L9" s="42" t="inlineStr">
        <is>
          <t>Constantes de escala y umbrales como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I6-4554</t>
        </is>
      </c>
      <c r="B10" s="39" t="inlineStr">
        <is>
          <t>Compila. Pasa los 8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Pasa todo; conversión explícita INT_TO_REAL y tipos correctos, idiomático.</t>
        </is>
      </c>
      <c r="J10" s="42" t="inlineStr">
        <is>
          <t>Alarma prioritaria y histéresis correcta.</t>
        </is>
      </c>
      <c r="K10" s="42" t="inlineStr">
        <is>
          <t>Secciones numeradas y nota que explica por qué se conserva el estado.</t>
        </is>
      </c>
      <c r="L10" s="42" t="inlineStr">
        <is>
          <t>Rango y umbrales como literales.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I6-4640</t>
        </is>
      </c>
      <c r="B11" s="39" t="inlineStr">
        <is>
          <t>Compila. Pasa los 8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Pasa todo; conversión explícita INT_TO_REAL y tipos correctos, idiomático.</t>
        </is>
      </c>
      <c r="J11" s="42" t="inlineStr">
        <is>
          <t>Alarma apaga el enfriador y la histéresis conserva estado; sin contradicciones.</t>
        </is>
      </c>
      <c r="K11" s="42" t="inlineStr">
        <is>
          <t>Comentarios que explican la fórmula y el porqué del apagado de seguridad.</t>
        </is>
      </c>
      <c r="L11" s="42" t="inlineStr">
        <is>
          <t>Rango y umbrales como literales.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I6-5227</t>
        </is>
      </c>
      <c r="B12" s="39" t="inlineStr">
        <is>
          <t>Compila. Pasa los 8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todo; compila con tipos correctos pero depende de conversión implícita INT→REAL en la aritmética.</t>
        </is>
      </c>
      <c r="J12" s="42" t="inlineStr">
        <is>
          <t>Alarma aplicada al final sobrescribe al enfriador; histéresis correcta.</t>
        </is>
      </c>
      <c r="K12" s="42" t="inlineStr">
        <is>
          <t>Nombres descriptivos (mezcla inglés/español) y comentarios útiles.</t>
        </is>
      </c>
      <c r="L12" s="42" t="inlineStr">
        <is>
          <t>Rango, escala y umbrales declarados como variables; no son entradas del FB.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I6-1990</t>
        </is>
      </c>
      <c r="B13" s="39" t="inlineStr">
        <is>
          <t>Compila. Pasa los 8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Pasa todo; compila con tipos correctos pero depende de conversión implícita INT→REAL en la aritmética.</t>
        </is>
      </c>
      <c r="J13" s="42" t="inlineStr">
        <is>
          <t>Alarma prioritaria y histéresis correcta.</t>
        </is>
      </c>
      <c r="K13" s="42" t="inlineStr">
        <is>
          <t>Nombres descriptivos y comentarios útiles.</t>
        </is>
      </c>
      <c r="L13" s="42" t="inlineStr">
        <is>
          <t>Parámetros declarados como variables; no expuestos como entradas.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I6-8944</t>
        </is>
      </c>
      <c r="B14" s="39" t="inlineStr">
        <is>
          <t>Compila. Pasa los 8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1</v>
      </c>
      <c r="H14" s="40">
        <f>IF(COUNT(C14:G14)=5,SUM(C14:G14),"")</f>
        <v/>
      </c>
      <c r="I14" s="42" t="inlineStr">
        <is>
          <t>Pasa todo; conversión explícita INT_TO_REAL y tipos correctos, idiomático.</t>
        </is>
      </c>
      <c r="J14" s="42" t="inlineStr">
        <is>
          <t>Alarma prioritaria y histéresis correcta.</t>
        </is>
      </c>
      <c r="K14" s="42" t="inlineStr">
        <is>
          <t>Secciones numeradas y comentarios con el porqué de seguridad.</t>
        </is>
      </c>
      <c r="L14" s="42" t="inlineStr">
        <is>
          <t>Rango y umbrales como literales.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I6-2466</t>
        </is>
      </c>
      <c r="B15" s="39" t="inlineStr">
        <is>
          <t>Compila. Pasa los 8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todo; conversión explícita INT_TO_REAL y tipos correctos, idiomático.</t>
        </is>
      </c>
      <c r="J15" s="42" t="inlineStr">
        <is>
          <t>Alarma prioritaria, tempC definido en fallo y histéresis correcta.</t>
        </is>
      </c>
      <c r="K15" s="42" t="inlineStr">
        <is>
          <t>Secciones, fórmula documentada y comentarios con el porqué.</t>
        </is>
      </c>
      <c r="L15" s="42" t="inlineStr">
        <is>
          <t>VAR CONSTANT para rango y umbrales; la fórmula omite los offsets declarados y no hay parámetros de entrada.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I6-7405</t>
        </is>
      </c>
      <c r="B16" s="39" t="inlineStr">
        <is>
          <t>Compila. Pasa los 8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Pasa todo; conversión explícita INT_TO_REAL y tipos correctos, idiomático.</t>
        </is>
      </c>
      <c r="J16" s="42" t="inlineStr">
        <is>
          <t>Alarma prioritaria y histéresis correcta.</t>
        </is>
      </c>
      <c r="K16" s="42" t="inlineStr">
        <is>
          <t>Comentarios útiles por rama.</t>
        </is>
      </c>
      <c r="L16" s="42" t="inlineStr">
        <is>
          <t>Rango y umbrales como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I6-4763</t>
        </is>
      </c>
      <c r="B17" s="39" t="inlineStr">
        <is>
          <t>Compila. Pasa los 8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Pasa todo; conversión explícita INT_TO_REAL y tipos correctos, idiomático.</t>
        </is>
      </c>
      <c r="J17" s="42" t="inlineStr">
        <is>
          <t>Alarma con salida anticipada, tempC definido en fallo, histéresis correcta.</t>
        </is>
      </c>
      <c r="K17" s="42" t="inlineStr">
        <is>
          <t>Secciones bien delimitadas y fórmula documentada.</t>
        </is>
      </c>
      <c r="L17" s="42" t="inlineStr">
        <is>
          <t>VAR CONSTANT y escalado general con offsets; sin parámetros de entrada.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I6-2631</t>
        </is>
      </c>
      <c r="B18" s="39" t="inlineStr">
        <is>
          <t>No compila (7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correcta pero con redundancias: 'enfriador := enfriador' y variable tempC_prev declarada sin uso.</t>
        </is>
      </c>
      <c r="K18" s="42" t="inlineStr">
        <is>
          <t>Comentarios y nombres adecuados.</t>
        </is>
      </c>
      <c r="L18" s="42" t="inlineStr">
        <is>
          <t>Literales mágicos en escala y umbrales.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I6-5219</t>
        </is>
      </c>
      <c r="B19" s="39" t="inlineStr">
        <is>
          <t>Compila. Pasa los 8 pasos del harness.</t>
        </is>
      </c>
      <c r="C19" s="40" t="n">
        <v>3</v>
      </c>
      <c r="D19" s="41" t="n">
        <v>2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Pasa todo; compila con tipos correctos pero depende de conversión implícita INT→REAL en la aritmética.</t>
        </is>
      </c>
      <c r="J19" s="42" t="inlineStr">
        <is>
          <t>El apagado por alarma depende indirectamente de tempC:=0; copia redundante enfriadorPrev y tempCPrev sin uso.</t>
        </is>
      </c>
      <c r="K19" s="42" t="inlineStr">
        <is>
          <t>Nombres y comentarios claros con variables sobrantes.</t>
        </is>
      </c>
      <c r="L19" s="42" t="inlineStr">
        <is>
          <t>Literales mágicos en escala y umbrales.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I6-8502</t>
        </is>
      </c>
      <c r="B20" s="39" t="inlineStr">
        <is>
          <t>Compila. Pasa los 8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Pasa todo; conversión explícita INT_TO_REAL y tipos correctos, idiomático.</t>
        </is>
      </c>
      <c r="J20" s="42" t="inlineStr">
        <is>
          <t>Alarma prioritaria y histéresis correcta.</t>
        </is>
      </c>
      <c r="K20" s="42" t="inlineStr">
        <is>
          <t>Secciones numeradas y comentarios con el porqué.</t>
        </is>
      </c>
      <c r="L20" s="42" t="inlineStr">
        <is>
          <t>Rango y umbrales como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I6-1774</t>
        </is>
      </c>
      <c r="B21" s="39" t="inlineStr">
        <is>
          <t>No compila (12 errores).</t>
        </is>
      </c>
      <c r="C21" s="40" t="n">
        <v>0</v>
      </c>
      <c r="D21" s="40" t="n">
        <v>0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Lógica correcta pero con redundancias: 'enfriador := enfriador' y variable tempC_prev declarada sin uso.</t>
        </is>
      </c>
      <c r="K21" s="42" t="inlineStr">
        <is>
          <t>Comentarios útiles, aunque con bloque BEGIN ajeno a ST.</t>
        </is>
      </c>
      <c r="L21" s="42" t="inlineStr">
        <is>
          <t>Solo el factor de escala intenta ser constante; umbrales y rango literales.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I6-7940</t>
        </is>
      </c>
      <c r="B22" s="39" t="inlineStr">
        <is>
          <t>Compila. Pasa los 8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1</v>
      </c>
      <c r="H22" s="40">
        <f>IF(COUNT(C22:G22)=5,SUM(C22:G22),"")</f>
        <v/>
      </c>
      <c r="I22" s="42" t="inlineStr">
        <is>
          <t>Pasa todo; conversión explícita INT_TO_REAL y tipos correctos, idiomático.</t>
        </is>
      </c>
      <c r="J22" s="42" t="inlineStr">
        <is>
          <t>Alarma prioritaria y histéresis correcta.</t>
        </is>
      </c>
      <c r="K22" s="42" t="inlineStr">
        <is>
          <t>Comentarios que explican fórmula, umbrales y apagado de seguridad.</t>
        </is>
      </c>
      <c r="L22" s="42" t="inlineStr">
        <is>
          <t>Rango y umbrales como literales.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I6-9872</t>
        </is>
      </c>
      <c r="B23" s="39" t="inlineStr">
        <is>
          <t>No compila (7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Lógica correcta pero con redundancias: 'enfriador := enfriador' y variable tempC_prev declarada sin uso.</t>
        </is>
      </c>
      <c r="K23" s="42" t="inlineStr">
        <is>
          <t>Comentarios y nombres adecuados.</t>
        </is>
      </c>
      <c r="L23" s="42" t="inlineStr">
        <is>
          <t>Literales mágicos en escala y umbrales.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I6-7606</t>
        </is>
      </c>
      <c r="B24" s="39" t="inlineStr">
        <is>
          <t>Compila. Pasa los 8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Pasa todo; conversión explícita INT_TO_REAL y tipos correctos, idiomático.</t>
        </is>
      </c>
      <c r="J24" s="42" t="inlineStr">
        <is>
          <t>Alarma prioritaria, tempC definido en fallo, histéresis correcta.</t>
        </is>
      </c>
      <c r="K24" s="42" t="inlineStr">
        <is>
          <t>Secciones bien delimitadas y fórmula documentada.</t>
        </is>
      </c>
      <c r="L24" s="42" t="inlineStr">
        <is>
          <t>VAR CONSTANT para rango y umbrales; sin parámetros de entrada.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I6-9273</t>
        </is>
      </c>
      <c r="B25" s="39" t="inlineStr">
        <is>
          <t>Compila. Pasa los 8 pasos del harness.</t>
        </is>
      </c>
      <c r="C25" s="40" t="n">
        <v>3</v>
      </c>
      <c r="D25" s="41" t="n">
        <v>2</v>
      </c>
      <c r="E25" s="41" t="n">
        <v>1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Pasa todo; compila con tipos correctos pero depende de conversión implícita INT→REAL en la aritmética.</t>
        </is>
      </c>
      <c r="J25" s="42" t="inlineStr">
        <is>
          <t>Histéresis con copia redundante enfriadorPrev y tempCPrev sin uso.</t>
        </is>
      </c>
      <c r="K25" s="42" t="inlineStr">
        <is>
          <t>Nombres y comentarios claros con variables sobrantes.</t>
        </is>
      </c>
      <c r="L25" s="42" t="inlineStr">
        <is>
          <t>Factor 276.48 derivado y umbrales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I6-9365</t>
        </is>
      </c>
      <c r="B26" s="39" t="inlineStr">
        <is>
          <t>No compila (7 errores).</t>
        </is>
      </c>
      <c r="C26" s="40" t="n">
        <v>0</v>
      </c>
      <c r="D26" s="40" t="n">
        <v>0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Lógica correcta pero con redundancias: 'enfriador := enfriador' y variable tempC_prev declarada sin uso.</t>
        </is>
      </c>
      <c r="K26" s="42" t="inlineStr">
        <is>
          <t>Comentarios y nombres adecuados.</t>
        </is>
      </c>
      <c r="L26" s="42" t="inlineStr">
        <is>
          <t>Literales mágicos en escala y umbrales.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I6-4205</t>
        </is>
      </c>
      <c r="B27" s="39" t="inlineStr">
        <is>
          <t>No compila (7 errores).</t>
        </is>
      </c>
      <c r="C27" s="40" t="n">
        <v>0</v>
      </c>
      <c r="D27" s="40" t="n">
        <v>0</v>
      </c>
      <c r="E27" s="41" t="n">
        <v>1</v>
      </c>
      <c r="F27" s="41" t="n">
        <v>2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Lógica correcta pero con redundancias: 'enfriador := enfriador' y variable tempC_prev declarada sin uso.</t>
        </is>
      </c>
      <c r="K27" s="42" t="inlineStr">
        <is>
          <t>Comentarios y nombres adecuados.</t>
        </is>
      </c>
      <c r="L27" s="42" t="inlineStr">
        <is>
          <t>Literales mágicos en escala y umbrales.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I6-1860</t>
        </is>
      </c>
      <c r="B28" s="39" t="inlineStr">
        <is>
          <t>Compila. Falla 1 de 8 pasos del harness (pasos 3; numerados desde 0).</t>
        </is>
      </c>
      <c r="C28" s="41" t="n">
        <v>1</v>
      </c>
      <c r="D28" s="41" t="n">
        <v>2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 en el caso nominal y la histéresis, pero la alarma no apaga el enfriador (paso 3); compila con conversión implícita INT→REAL.</t>
        </is>
      </c>
      <c r="J28" s="42" t="inlineStr">
        <is>
          <t>Falta el enclavamiento alarma→enfriador (con raw &gt; 27648 incluso puede encenderlo) y la variable histeresis no se usa.</t>
        </is>
      </c>
      <c r="K28" s="42" t="inlineStr">
        <is>
          <t>Nombres y comentarios razonables.</t>
        </is>
      </c>
      <c r="L28" s="42" t="inlineStr">
        <is>
          <t>Escala parametrizada pero umbrales literales y parámetro histeresis sin usar.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I6-9306</t>
        </is>
      </c>
      <c r="B29" s="39" t="inlineStr">
        <is>
          <t>Compila. Pasa los 8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Pasa todo; conversión explícita INT_TO_REAL y tipos correctos, idiomático.</t>
        </is>
      </c>
      <c r="J29" s="42" t="inlineStr">
        <is>
          <t>Alarma prioritaria, tempC definido en fallo, histéresis correcta.</t>
        </is>
      </c>
      <c r="K29" s="42" t="inlineStr">
        <is>
          <t>Secciones delimitadas y comentarios con fórmula y porqué.</t>
        </is>
      </c>
      <c r="L29" s="42" t="inlineStr">
        <is>
          <t>VAR CONSTANT para rango y umbrales; sin parámetros de entrada.</t>
        </is>
      </c>
      <c r="M29" s="42" t="n"/>
      <c r="N29" s="40">
        <f>IF(COUNT(C29:G29)=5,"Completa","Falta")</f>
        <v/>
      </c>
    </row>
    <row r="30"/>
  </sheetData>
  <dataValidations count="3">
    <dataValidation sqref="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7 D19:D20 D22 D24:D25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I7 — Bombas dúplex con alternancia (Intermedio)</t>
        </is>
      </c>
    </row>
    <row r="2" ht="15" customHeight="1" s="22">
      <c r="A2" s="33" t="inlineStr">
        <is>
          <t>Lee cada respuesta por su código en respuestas/Respuestas_I7.html.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I7-1859</t>
        </is>
      </c>
      <c r="B6" s="39" t="inlineStr">
        <is>
          <t>Compila. Falla 8 de 14 pasos del harness (pasos 1,3,5,6,7,8,11,12; numerados desde 0).</t>
        </is>
      </c>
      <c r="C6" s="41" t="n">
        <v>1</v>
      </c>
      <c r="D6" s="41" t="n">
        <v>2</v>
      </c>
      <c r="E6" s="41" t="n">
        <v>1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Alterna y gestiona fallas correctamente, pero principal1 inicia en TRUE y se invierte en el primer flanco: la primera demanda arranca bomba2 y toda la secuencia queda desfasada (falla 1,3,5,6,7,8,11,12); compila con declaraciones correctas y detección de flanco manual (IEC 2).</t>
        </is>
      </c>
      <c r="J6" s="42" t="inlineStr">
        <is>
          <t>Estructura coherente y casos de falla completos, pero la inicialización de principal1 contradice el requisito de primera demanda con bomba1.</t>
        </is>
      </c>
      <c r="K6" s="42" t="inlineStr">
        <is>
          <t>Nombres descriptivos y comentarios útiles por rama; sin modularización adicional.</t>
        </is>
      </c>
      <c r="L6" s="42" t="inlineStr">
        <is>
          <t>Estado y flanco en variables declaradas; ramas de salida duplicadas por bomba pero cambios localizados.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I7-5823</t>
        </is>
      </c>
      <c r="B7" s="39" t="inlineStr">
        <is>
          <t>Compila. Pasa los 14 pasos del harness.</t>
        </is>
      </c>
      <c r="C7" s="40" t="n">
        <v>3</v>
      </c>
      <c r="D7" s="41" t="n">
        <v>2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 2: compila, declaraciones correctas; flanco manual en lugar de R_TRIG estándar.</t>
        </is>
      </c>
      <c r="J7" s="42" t="inlineStr">
        <is>
          <t>Alternancia, respaldo, ambas fallas y alarma cubiertos explícitamente; salidas definidas en todas las ramas.</t>
        </is>
      </c>
      <c r="K7" s="42" t="inlineStr">
        <is>
          <t>Nombres claros y comentarios por rama; el encabezado 'Inicialización de variables' rotula mal la detección de flanco y la dependencia del valor por defecto FALSE no se explica.</t>
        </is>
      </c>
      <c r="L7" s="42" t="inlineStr">
        <is>
          <t>Lógica localizada y legible; duplicación de bloques de salida entre ramas de principal.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I7-2190</t>
        </is>
      </c>
      <c r="B8" s="39" t="inlineStr">
        <is>
          <t>Compila. Pasa los 14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 2: compila, declaraciones correctas; flanco manual en lugar de R_TRIG.</t>
        </is>
      </c>
      <c r="J8" s="42" t="inlineStr">
        <is>
          <t>Todos los casos de falla tratados explícitamente y salidas asignadas en cada rama; sin estados muertos.</t>
        </is>
      </c>
      <c r="K8" s="42" t="inlineStr">
        <is>
          <t>Nombres adecuados; comentarios escasos dentro de las ramas y encabezado 'Inicialización' mal rotulado.</t>
        </is>
      </c>
      <c r="L8" s="42" t="inlineStr">
        <is>
          <t>Cambios localizados; asignaciones repetidas en ramas simétricas.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I7-6860</t>
        </is>
      </c>
      <c r="B9" s="39" t="inlineStr">
        <is>
          <t>Compila. Pasa los 14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3: compila y usa R_TRIG estándar bien instanciado para el flanco; tipos correctos.</t>
        </is>
      </c>
      <c r="J9" s="42" t="inlineStr">
        <is>
          <t>Ecuaciones booleanas compactas cubren respaldo, doble falla y alarma sin contradicciones; inicialización explicada.</t>
        </is>
      </c>
      <c r="K9" s="42" t="inlineStr">
        <is>
          <t>Nombres descriptivos y comentarios que explican el porqué del valor inicial del turno.</t>
        </is>
      </c>
      <c r="L9" s="42" t="inlineStr">
        <is>
          <t>Lógica compacta y sin duplicación significativa; sin parámetros extra, adecuado al alcance.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I7-5664</t>
        </is>
      </c>
      <c r="B10" s="39" t="inlineStr">
        <is>
          <t>Compila. Falla 5 de 14 pasos del harness (pasos 1,5,6,7,8;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Funcional 0: el bloque de 'inicialización' fuerza principal:=TRUE en cada ciclo sin demanda, por lo que cada flanco la pone en FALSE y siempre arranca bomba2 (falla paso 1 nominal y nunca alterna); IEC 2: compila con declaraciones correctas.</t>
        </is>
      </c>
      <c r="J10" s="42" t="inlineStr">
        <is>
          <t>El reinicio de principal en reposo anula por completo la alternancia: contradicción que deja inoperante la función principal.</t>
        </is>
      </c>
      <c r="K10" s="42" t="inlineStr">
        <is>
          <t>Nombres y comentarios presentes y ordenados, aunque el comentario de inicialización no describe el efecto real.</t>
        </is>
      </c>
      <c r="L10" s="42" t="inlineStr">
        <is>
          <t>Variables de estado declaradas y lógica localizada; duplicación de ramas de salida.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I7-4023</t>
        </is>
      </c>
      <c r="B11" s="39" t="inlineStr">
        <is>
          <t>Compila. Pasa los 14 pasos del harness.</t>
        </is>
      </c>
      <c r="C11" s="40" t="n">
        <v>3</v>
      </c>
      <c r="D11" s="41" t="n">
        <v>2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2: compila, tipos correctos; flanco manual y principal como INT en vez de BOOL/R_TRIG.</t>
        </is>
      </c>
      <c r="J11" s="42" t="inlineStr">
        <is>
          <t>Funciona por casualidad: primerCiclo inicia en FALSE y su bloque de inicialización nunca se ejecuta (código muerto); principal arranca en 0 y la primera conmutación la lleva a 1.</t>
        </is>
      </c>
      <c r="K11" s="42" t="inlineStr">
        <is>
          <t>Secciones bien separadas y muy comentadas, pero varios comentarios describen una inicialización que no ocurre.</t>
        </is>
      </c>
      <c r="L11" s="42" t="inlineStr">
        <is>
          <t>Salidas por defecto y lógica localizada; el código muerto complica futuras modificaciones.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I7-8200</t>
        </is>
      </c>
      <c r="B12" s="39" t="inlineStr">
        <is>
          <t>Compila. Pasa los 14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3: compila, R_TRIG estándar bien instanciado y declaraciones correctas.</t>
        </is>
      </c>
      <c r="J12" s="42" t="inlineStr">
        <is>
          <t>Respaldo, doble falla y alarma correctos con ecuaciones sin contradicciones; inicialización justificada.</t>
        </is>
      </c>
      <c r="K12" s="42" t="inlineStr">
        <is>
          <t>Nombres claros y comentario que explica el valor inicial del turno.</t>
        </is>
      </c>
      <c r="L12" s="42" t="inlineStr">
        <is>
          <t>Lógica compacta y localizada, sin duplicación relevante.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I7-7155</t>
        </is>
      </c>
      <c r="B13" s="39" t="inlineStr">
        <is>
          <t>Compila. Falla 4 de 14 pasos del harness (pasos 3,10,11,12; numerados desde 0).</t>
        </is>
      </c>
      <c r="C13" s="41" t="n">
        <v>1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Funcional 1: arranca bomba1 y el respaldo funciona, pero estado se fuerza a 1 en cada ciclo con demanda, por lo que nunca alterna, y almFalla no se borra al quitar la demanda (falla 3,10,11,12); IEC 2: compila.</t>
        </is>
      </c>
      <c r="J13" s="42" t="inlineStr">
        <is>
          <t>estado se sobrescribe cada ciclo y se conmuta tras usarse: transiciones contradictorias y alarma retenida sin demanda.</t>
        </is>
      </c>
      <c r="K13" s="42" t="inlineStr">
        <is>
          <t>Comentarios de 'Estado 0/1/2' no corresponden a la lógica y las salidas se comentan como 'principal/secundaria' erróneamente.</t>
        </is>
      </c>
      <c r="L13" s="42" t="inlineStr">
        <is>
          <t>Números de estado mágicos y bandera cambio poco clara; modificar exige reescribir.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I7-3525</t>
        </is>
      </c>
      <c r="B14" s="39" t="inlineStr">
        <is>
          <t>Compila. Falla 5 de 14 pasos del harness (pasos 3,6,8,9,11; numerados desde 0).</t>
        </is>
      </c>
      <c r="C14" s="41" t="n">
        <v>1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Funcional 1: la primera demanda arranca bomba1, pero estado vuelve a 0 sin demanda y salta a 2 en el mismo ciclo, rompiendo alternancia, restauración y doble falla (falla 3,6,8,9,11); IEC 2: compila.</t>
        </is>
      </c>
      <c r="J14" s="42" t="inlineStr">
        <is>
          <t>Reset de estado a 0 y conmutación en el mismo ciclo crean transiciones contradictorias; las ramas sin falla no restablecen salidas ni contemplan doble falla.</t>
        </is>
      </c>
      <c r="K14" s="42" t="inlineStr">
        <is>
          <t>Nombres descriptivos y comentarios de estados ordenados.</t>
        </is>
      </c>
      <c r="L14" s="42" t="inlineStr">
        <is>
          <t>Estados como enteros mágicos y salidas repartidas entre CASE y flanco; cambios poco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I7-7598</t>
        </is>
      </c>
      <c r="B15" s="39" t="inlineStr">
        <is>
          <t>Compila. Falla 6 de 14 pasos del harness (pasos 1,5,6,7,8,9; numerados desde 0).</t>
        </is>
      </c>
      <c r="C15" s="41" t="n">
        <v>0</v>
      </c>
      <c r="D15" s="41" t="n">
        <v>2</v>
      </c>
      <c r="E15" s="41" t="n">
        <v>0</v>
      </c>
      <c r="F15" s="41" t="n">
        <v>1</v>
      </c>
      <c r="G15" s="41" t="n">
        <v>1</v>
      </c>
      <c r="H15" s="40">
        <f>IF(COUNT(C15:G15)=5,SUM(C15:G15),"")</f>
        <v/>
      </c>
      <c r="I15" s="42" t="inlineStr">
        <is>
          <t>Funcional 0: estado se fija en 1 en cada flanco y luego se conmuta a 2, por lo que siempre arranca bomba2 (falla paso 1 nominal y no alterna); doble falla mal tratada; IEC 2: compila.</t>
        </is>
      </c>
      <c r="J15" s="42" t="inlineStr">
        <is>
          <t>Dos asignaciones de estado contradictorias en el mismo flanco anulan la alternancia; doble falla activa una bomba en falla.</t>
        </is>
      </c>
      <c r="K15" s="42" t="inlineStr">
        <is>
          <t>Comentario 'Inicialización de variables' es incorrecto y engañoso respecto del comportamiento.</t>
        </is>
      </c>
      <c r="L15" s="42" t="inlineStr">
        <is>
          <t>Estados enteros mágicos y lógica de salida duplicada con sobrescrituras.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I7-1736</t>
        </is>
      </c>
      <c r="B16" s="39" t="inlineStr">
        <is>
          <t>Compila. Pasa los 14 pasos del harness.</t>
        </is>
      </c>
      <c r="C16" s="40" t="n">
        <v>3</v>
      </c>
      <c r="D16" s="41" t="n">
        <v>2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2: compila, declaraciones correctas; flanco manual en lugar de R_TRIG.</t>
        </is>
      </c>
      <c r="J16" s="42" t="inlineStr">
        <is>
          <t>Bandera de primer arranque explícita, salidas por defecto en FALSE y todos los casos de falla cubiertos sin contradicciones.</t>
        </is>
      </c>
      <c r="K16" s="42" t="inlineStr">
        <is>
          <t>Nombres descriptivos y comentarios útiles en cada rama.</t>
        </is>
      </c>
      <c r="L16" s="42" t="inlineStr">
        <is>
          <t>Lógica localizada y fácil de modificar; sin parametrización adicional.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I7-8285</t>
        </is>
      </c>
      <c r="B17" s="39" t="inlineStr">
        <is>
          <t>Compila. Falla 6 de 14 pasos del harness (pasos 3,6,7,8,9,11; numerados desde 0).</t>
        </is>
      </c>
      <c r="C17" s="41" t="n">
        <v>1</v>
      </c>
      <c r="D17" s="41" t="n">
        <v>2</v>
      </c>
      <c r="E17" s="41" t="n">
        <v>0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1: arranca bomba1 en la primera demanda, pero estado vuelve a 0 sin demanda y la alternancia, la restauración tras falla y la doble falla fallan (falla 3,6,7,8,9,11); IEC 2: compila.</t>
        </is>
      </c>
      <c r="J17" s="42" t="inlineStr">
        <is>
          <t>Mismo ciclo reinicia y conmuta estado; almFalla nunca se borra con demanda presente y falta restaurar la principal: transiciones incompletas.</t>
        </is>
      </c>
      <c r="K17" s="42" t="inlineStr">
        <is>
          <t>Nombres y comentarios de estados adecuados.</t>
        </is>
      </c>
      <c r="L17" s="42" t="inlineStr">
        <is>
          <t>Estados enteros mágicos y asignaciones dispersas.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I7-8111</t>
        </is>
      </c>
      <c r="B18" s="39" t="inlineStr">
        <is>
          <t>Compila. Pasa los 14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3: compila, R_TRIG estándar bien instanciado y tipos correctos.</t>
        </is>
      </c>
      <c r="J18" s="42" t="inlineStr">
        <is>
          <t>Bandera de primer arranque explícita y ecuaciones de respaldo/alarma completas, sin contradicciones.</t>
        </is>
      </c>
      <c r="K18" s="42" t="inlineStr">
        <is>
          <t>Nombres claros y comentarios que explican el porqué de la primera demanda.</t>
        </is>
      </c>
      <c r="L18" s="42" t="inlineStr">
        <is>
          <t>Lógica compacta y localizada, sin duplicación relevante.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I7-5182</t>
        </is>
      </c>
      <c r="B19" s="39" t="inlineStr">
        <is>
          <t>Compila. Falla 8 de 14 pasos del harness (pasos 1,3,5,6,7,8,11,12; numerados desde 0).</t>
        </is>
      </c>
      <c r="C19" s="41" t="n">
        <v>1</v>
      </c>
      <c r="D19" s="41" t="n">
        <v>2</v>
      </c>
      <c r="E19" s="41" t="n">
        <v>1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Alterna y gestiona fallas correctamente, pero principal1 inicia en TRUE y se invierte en el primer flanco: la primera demanda arranca bomba2 y toda la secuencia queda desfasada (falla 1,3,5,6,7,8,11,12); compila con declaraciones correctas y detección de flanco manual (IEC 2).</t>
        </is>
      </c>
      <c r="J19" s="42" t="inlineStr">
        <is>
          <t>Lógica de fallas coherente pero inicialización de principal1 contraria al requisito de primera demanda.</t>
        </is>
      </c>
      <c r="K19" s="42" t="inlineStr">
        <is>
          <t>Nombres claros, comentarios útiles por rama.</t>
        </is>
      </c>
      <c r="L19" s="42" t="inlineStr">
        <is>
          <t>Variables de estado declaradas; ramas simétricas duplicadas.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I7-2045</t>
        </is>
      </c>
      <c r="B20" s="39" t="inlineStr">
        <is>
          <t>Compila. Falla 1 de 14 pasos del harness (pasos 9; numerados desde 0).</t>
        </is>
      </c>
      <c r="C20" s="41" t="n">
        <v>2</v>
      </c>
      <c r="D20" s="41" t="n">
        <v>2</v>
      </c>
      <c r="E20" s="41" t="n">
        <v>1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Funcional 2: alternancia, respaldo y restauración correctos; solo falla el caso de ambas bombas en falla (almFalla := NOT falla2 la desactiva, paso 9); IEC 2: compila.</t>
        </is>
      </c>
      <c r="J20" s="42" t="inlineStr">
        <is>
          <t>Coherente en general, pero la alarma se condiciona a la salud del respaldo, contra el requisito, y el ajuste MOD 3 con corrección a 1 es redundante.</t>
        </is>
      </c>
      <c r="K20" s="42" t="inlineStr">
        <is>
          <t>Estados documentados en la declaración y comentarios útiles.</t>
        </is>
      </c>
      <c r="L20" s="42" t="inlineStr">
        <is>
          <t>Lógica localizada; estados como enteros sin constantes.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I7-3489</t>
        </is>
      </c>
      <c r="B21" s="39" t="inlineStr">
        <is>
          <t>Compila. Pasa los 14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 3: compila, R_TRIG estándar bien instanciado y tipos correctos.</t>
        </is>
      </c>
      <c r="J21" s="42" t="inlineStr">
        <is>
          <t>Tres ecuaciones booleanas completas e independientes de estado intermedio; comportamiento correcto ante fallas simultáneas.</t>
        </is>
      </c>
      <c r="K21" s="42" t="inlineStr">
        <is>
          <t>Nombres claros y comentarios que explican cada condición.</t>
        </is>
      </c>
      <c r="L21" s="42" t="inlineStr">
        <is>
          <t>Muy compacto y sin duplicación; cambios localizados.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I7-3883</t>
        </is>
      </c>
      <c r="B22" s="39" t="inlineStr">
        <is>
          <t>Compila. Falla 8 de 14 pasos del harness (pasos 1,3,5,6,7,8,11,12;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Alterna y gestiona fallas correctamente, pero principal inicia en TRUE y se invierte en el primer flanco: la primera demanda arranca bomba2 y toda la secuencia queda desfasada (falla 1,3,5,6,7,8,11,12); compila con declaraciones correctas y detección de flanco manual (IEC 2).</t>
        </is>
      </c>
      <c r="J22" s="42" t="inlineStr">
        <is>
          <t>Lógica de fallas coherente, pero la inicialización de principal invierte toda la secuencia.</t>
        </is>
      </c>
      <c r="K22" s="42" t="inlineStr">
        <is>
          <t>Nombres adecuados y comentarios por rama.</t>
        </is>
      </c>
      <c r="L22" s="42" t="inlineStr">
        <is>
          <t>Variables de estado declaradas; ramas simétricas duplicadas.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I7-1098</t>
        </is>
      </c>
      <c r="B23" s="39" t="inlineStr">
        <is>
          <t>Compila. Falla 8 de 14 pasos del harness (pasos 1,3,5,6,7,8,11,12;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Alterna y gestiona fallas correctamente, pero principal_es1 inicia en TRUE y se invierte en el primer flanco: la primera demanda arranca bomba2 y toda la secuencia queda desfasada (falla 1,3,5,6,7,8,11,12); compila con declaraciones correctas y detección de flanco manual (IEC 2).</t>
        </is>
      </c>
      <c r="J23" s="42" t="inlineStr">
        <is>
          <t>Salidas por defecto y fallas bien tratadas, pero principal_es1 inicializada en TRUE contradice el requisito de primera demanda.</t>
        </is>
      </c>
      <c r="K23" s="42" t="inlineStr">
        <is>
          <t>Secciones delimitadas y comentarios abundantes; falta END_FUNCTION_BLOCK en el texto entregado.</t>
        </is>
      </c>
      <c r="L23" s="42" t="inlineStr">
        <is>
          <t>Salidas por defecto y lógica localizada.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I7-6285</t>
        </is>
      </c>
      <c r="B24" s="39" t="inlineStr">
        <is>
          <t>Compila. Pasa los 14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 3: compila, R_TRIG estándar bien instanciado y tipos correctos.</t>
        </is>
      </c>
      <c r="J24" s="42" t="inlineStr">
        <is>
          <t>Respaldo, doble falla y alarma correctos, con la inicialización del turno justificada.</t>
        </is>
      </c>
      <c r="K24" s="42" t="inlineStr">
        <is>
          <t>Nombres claros y comentarios que explican el porqué de cada ecuación.</t>
        </is>
      </c>
      <c r="L24" s="42" t="inlineStr">
        <is>
          <t>Lógica compacta y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I7-2100</t>
        </is>
      </c>
      <c r="B25" s="39" t="inlineStr">
        <is>
          <t>Compila. Falla 5 de 14 pasos del harness (pasos 1,5,6,7,8; numerados desde 0).</t>
        </is>
      </c>
      <c r="C25" s="41" t="n">
        <v>0</v>
      </c>
      <c r="D25" s="41" t="n">
        <v>2</v>
      </c>
      <c r="E25" s="41" t="n">
        <v>0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Funcional 0: principal se reinicia a TRUE en cada ciclo sin demanda y se invierte en cada flanco, así que siempre arranca bomba2 (falla paso 1 nominal, no alterna); IEC 2: compila.</t>
        </is>
      </c>
      <c r="J25" s="42" t="inlineStr">
        <is>
          <t>El bloque de inicialización contradice la alternancia y la deja inoperante.</t>
        </is>
      </c>
      <c r="K25" s="42" t="inlineStr">
        <is>
          <t>Comentarios y nombres presentes y ordenados, aunque el de inicialización no refleja el efecto.</t>
        </is>
      </c>
      <c r="L25" s="42" t="inlineStr">
        <is>
          <t>Variables declaradas y lógica localizada; ramas duplicadas.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I7-1170</t>
        </is>
      </c>
      <c r="B26" s="39" t="inlineStr">
        <is>
          <t>Compila. Falla 10 de 14 pasos del harness (pasos 2,4,5,6,7,8,9,11,12,13;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0: las bombas no se detienen al quitar la demanda y cada tercera demanda cae en el estado 0 sin bomba (falla 10 de 14 pasos, incluido el caso nominal de paro); IEC 2: compila.</t>
        </is>
      </c>
      <c r="J26" s="42" t="inlineStr">
        <is>
          <t>La demanda no participa en las salidas y el estado 0 es alcanzable con demanda presente: contradicción grave.</t>
        </is>
      </c>
      <c r="K26" s="42" t="inlineStr">
        <is>
          <t>Estados documentados y comentarios breves útiles.</t>
        </is>
      </c>
      <c r="L26" s="42" t="inlineStr">
        <is>
          <t>Estados enteros mágicos y ciclo MOD 3 rígido.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I7-8887</t>
        </is>
      </c>
      <c r="B27" s="39" t="inlineStr">
        <is>
          <t>Compila. Falla 8 de 14 pasos del harness (pasos 1,3,5,6,7,8,11,12; numerados desde 0).</t>
        </is>
      </c>
      <c r="C27" s="41" t="n">
        <v>1</v>
      </c>
      <c r="D27" s="41" t="n">
        <v>2</v>
      </c>
      <c r="E27" s="41" t="n">
        <v>1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Alterna y gestiona fallas correctamente, pero principal1 inicia en TRUE y se invierte en el primer flanco: la primera demanda arranca bomba2 y toda la secuencia queda desfasada (falla 1,3,5,6,7,8,11,12); compila con declaraciones correctas y detección de flanco manual (IEC 2).</t>
        </is>
      </c>
      <c r="J27" s="42" t="inlineStr">
        <is>
          <t>Lógica de fallas coherente, pero la inicialización de principal1 contradice el requisito.</t>
        </is>
      </c>
      <c r="K27" s="42" t="inlineStr">
        <is>
          <t>Nombres claros y comentarios útiles por rama.</t>
        </is>
      </c>
      <c r="L27" s="42" t="inlineStr">
        <is>
          <t>Variables de estado declaradas; ramas simétricas duplicadas.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I7-7783</t>
        </is>
      </c>
      <c r="B28" s="39" t="inlineStr">
        <is>
          <t>Compila. Falla 8 de 14 pasos del harness (pasos 1,3,5,6,7,8,11,12; numerados desde 0).</t>
        </is>
      </c>
      <c r="C28" s="41" t="n">
        <v>1</v>
      </c>
      <c r="D28" s="41" t="n">
        <v>2</v>
      </c>
      <c r="E28" s="41" t="n">
        <v>1</v>
      </c>
      <c r="F28" s="41" t="n">
        <v>1</v>
      </c>
      <c r="G28" s="41" t="n">
        <v>2</v>
      </c>
      <c r="H28" s="40">
        <f>IF(COUNT(C28:G28)=5,SUM(C28:G28),"")</f>
        <v/>
      </c>
      <c r="I28" s="42" t="inlineStr">
        <is>
          <t>Funcional 1: la lógica de respaldo y alarma es correcta, pero principal_es1 (TRUE) se conmuta al final del primer ciclo de cada demanda, así que la bomba en marcha resulta invertida respecto de lo pedido (falla 1,3,5,6,7,8,11,12); IEC 2: compila con declaraciones correctas.</t>
        </is>
      </c>
      <c r="J28" s="42" t="inlineStr">
        <is>
          <t>Contiene un IF de flanco vacío (código muerto) y la conmutación tras la lógica hace que la bomba cambie a bomba2 desde el segundo ciclo de la misma demanda.</t>
        </is>
      </c>
      <c r="K28" s="42" t="inlineStr">
        <is>
          <t>Comentarios extensos, contradictorios y con razonamiento no resuelto ('Solución: usar un flag' que no se implementa).</t>
        </is>
      </c>
      <c r="L28" s="42" t="inlineStr">
        <is>
          <t>Lógica localizada, aunque el bloque vacío y los comentarios confunden futuras modificaciones.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I7-7378</t>
        </is>
      </c>
      <c r="B29" s="39" t="inlineStr">
        <is>
          <t>Compila. Falla 5 de 14 pasos del harness (pasos 1,5,6,7,8;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Funcional 0: el reinicio de principal en reposo hace que cada flanco seleccione bomba2, falla la primera demanda y no alterna (falla 1,5,6,7,8); IEC 2: compila.</t>
        </is>
      </c>
      <c r="J29" s="42" t="inlineStr">
        <is>
          <t>El bloque de inicialización contradice la alternancia y la deja inoperante.</t>
        </is>
      </c>
      <c r="K29" s="42" t="inlineStr">
        <is>
          <t>Nombres y comentarios presentes y ordenados.</t>
        </is>
      </c>
      <c r="L29" s="42" t="inlineStr">
        <is>
          <t>Variables declaradas y lógica localizada; ramas duplicadas.</t>
        </is>
      </c>
      <c r="M29" s="42" t="n"/>
      <c r="N29" s="40">
        <f>IF(COUNT(C29:G29)=5,"Completa","Falta")</f>
        <v/>
      </c>
    </row>
    <row r="30"/>
  </sheetData>
  <dataValidations count="3">
    <dataValidation sqref="C6 C10 C13:C15 C17 C19:C20 C22:C23 C25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I8 — Permisivos de arranque de compresor (Intermedio)</t>
        </is>
      </c>
    </row>
    <row r="2" ht="15" customHeight="1" s="22">
      <c r="A2" s="33" t="inlineStr">
        <is>
          <t>Lee cada respuesta por su código en respuestas/Respuestas_I8.html.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I8-2589</t>
        </is>
      </c>
      <c r="B6" s="39" t="inlineStr">
        <is>
          <t>Compila. Pasa los 19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2: compila, TON bien usado con T#3S; flanco manual en lugar de R_TRIG y el texto entregado omite END_FUNCTION_BLOCK.</t>
        </is>
      </c>
      <c r="J6" s="42" t="inlineStr">
        <is>
          <t>Prioridad paro/pérdida de permisivo explícita, enclavamiento sin rearranque automático y causaBloqueo coherente con el permisivo temporizado.</t>
        </is>
      </c>
      <c r="K6" s="42" t="inlineStr">
        <is>
          <t>Secciones numeradas y comentarios que explican las reglas de prioridad y enclavamiento.</t>
        </is>
      </c>
      <c r="L6" s="42" t="inlineStr">
        <is>
          <t>Permisivos agrupados en una variable y diagnóstico centralizado; cambios localizados, sin parametrizar el tiempo como entrada.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I8-1720</t>
        </is>
      </c>
      <c r="B7" s="39" t="inlineStr">
        <is>
          <t>Compila. Pasa los 19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 3: compila, TON y R_TRIG estándar bien instanciados, T#3S correcto.</t>
        </is>
      </c>
      <c r="J7" s="42" t="inlineStr">
        <is>
          <t>Prioridad paro/pérdida de permisivo explícita, enclavamiento sin rearranque automático y causaBloqueo coherente con el permisivo temporizado. Permisivos derivados de causaBloqueo, evitando duplicar condiciones.</t>
        </is>
      </c>
      <c r="K7" s="42" t="inlineStr">
        <is>
          <t>Pasos numerados y comentarios útiles.</t>
        </is>
      </c>
      <c r="L7" s="42" t="inlineStr">
        <is>
          <t>Permisivos agrupados en una variable y diagnóstico centralizado; cambios localizados, sin parametrizar el tiempo como entrada.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I8-2766</t>
        </is>
      </c>
      <c r="B8" s="39" t="inlineStr">
        <is>
          <t>Compila sola, pero no se pudo simular: declara las entradas donde el harness no puede escribirlas ('pOilOk' no es ninguna entrada de 'FB_COMPRESOR').</t>
        </is>
      </c>
      <c r="C8" s="41" t="n">
        <v>1</v>
      </c>
      <c r="D8" s="41" t="n">
        <v>1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1: arranca y para en el caso nominal, pero usa nivel de btnMarcha en vez de flanco y marchaLatch no se borra al perder permisivos, provocando rearranque automático al recuperarse; no simulable. IEC 1: todas las variables en VAR, sin VAR_INPUT/VAR_OUTPUT, interfaz no conforme para un FB.</t>
        </is>
      </c>
      <c r="J8" s="42" t="inlineStr">
        <is>
          <t>El latch sobrevive a la pérdida de permisivos y la salida se rehabilita sola al recuperarse: condición incoherente con el requisito de seguridad.</t>
        </is>
      </c>
      <c r="K8" s="42" t="inlineStr">
        <is>
          <t>Nombres y comentarios adecuados, aunque se rotulan como 'Entradas/Salidas' variables locales.</t>
        </is>
      </c>
      <c r="L8" s="42" t="inlineStr">
        <is>
          <t>Sin interfaz de entradas/salidas el bloque no es reutilizable ni modificable sin reescribir la declaración.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I8-6340</t>
        </is>
      </c>
      <c r="B9" s="39" t="inlineStr">
        <is>
          <t>Compila. Falla 3 de 19 pasos del harness (pasos 1,13,18; numerados desde 0).</t>
        </is>
      </c>
      <c r="C9" s="41" t="n">
        <v>2</v>
      </c>
      <c r="D9" s="41" t="n">
        <v>2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2: arranque, enclavamiento, prioridad del paro y pérdida de permisivos correctos; solo causaBloqueo usa pOilOk sin temporizar (pasos 1,13,18), falla de diagnóstico sin riesgo; IEC 2: compila, flanco manual.</t>
        </is>
      </c>
      <c r="J9" s="42" t="inlineStr">
        <is>
          <t>El diagnóstico reporta 0 mientras el permisivo temporizado aún bloquea el arranque: inconsistencia entre causa y lógica de marcha.</t>
        </is>
      </c>
      <c r="K9" s="42" t="inlineStr">
        <is>
          <t>Nombres y comentarios útiles; 'Inicialización del temporizador' rotula mal la llamada cíclica.</t>
        </is>
      </c>
      <c r="L9" s="42" t="inlineStr">
        <is>
          <t>La condición de permisivos se repite literalmente en dos lugares en vez de declararse una vez.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I8-8577</t>
        </is>
      </c>
      <c r="B10" s="39" t="inlineStr">
        <is>
          <t>Compila. Falla 7 de 19 pasos del harness (pasos 1,3,4,10,13,16,18;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Funcional 0: el TON se llama con IN:=FALSE cada ciclo y la memoria de flancos se actualiza antes de usarla, por lo que el compresor nunca arranca (falla 3,4,10,16); IEC 2: compila.</t>
        </is>
      </c>
      <c r="J10" s="42" t="inlineStr">
        <is>
          <t>Actualizar marchaAnterior antes de compararla anula los flancos y el temporizador se reinicia de forma contradictoria; comp se sobrescribe varias veces.</t>
        </is>
      </c>
      <c r="K10" s="42" t="inlineStr">
        <is>
          <t>Comentarios presentes pero engañosos ('Inicialización del temporizador'); variables sin uso real (paroAnterior efectivo, permisivoCumplido).</t>
        </is>
      </c>
      <c r="L10" s="42" t="inlineStr">
        <is>
          <t>Lógica dispersa y redundante (comp y estadoMarcha duplicados); difícil de modificar sin reescribir.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I8-7161</t>
        </is>
      </c>
      <c r="B11" s="39" t="inlineStr">
        <is>
          <t>Compila. Pasa los 19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2: compila, TON bien usado; flanco manual en lugar de R_TRIG.</t>
        </is>
      </c>
      <c r="J11" s="42" t="inlineStr">
        <is>
          <t>Prioridad paro/pérdida de permisivo explícita, enclavamiento sin rearranque automático y causaBloqueo coherente con el permisivo temporizado.</t>
        </is>
      </c>
      <c r="K11" s="42" t="inlineStr">
        <is>
          <t>Secciones numeradas con comentarios que explican el porqué de cada regla.</t>
        </is>
      </c>
      <c r="L11" s="42" t="inlineStr">
        <is>
          <t>Permisivos agrupados en una variable y diagnóstico centralizado; cambios localizados, sin parametrizar el tiempo como entrada.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I8-2865</t>
        </is>
      </c>
      <c r="B12" s="39" t="inlineStr">
        <is>
          <t>Compila. Pasa los 19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2: compila, TON bien usado; flanco manual en lugar de R_TRIG.</t>
        </is>
      </c>
      <c r="J12" s="42" t="inlineStr">
        <is>
          <t>Prioridad paro/pérdida de permisivo explícita, enclavamiento sin rearranque automático y causaBloqueo coherente con el permisivo temporizado.</t>
        </is>
      </c>
      <c r="K12" s="42" t="inlineStr">
        <is>
          <t>Secciones claras y comentarios de prioridad útiles.</t>
        </is>
      </c>
      <c r="L12" s="42" t="inlineStr">
        <is>
          <t>Permisivos agrupados en una variable y diagnóstico centralizado; cambios localizados, sin parametrizar el tiempo como entrada.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I8-4028</t>
        </is>
      </c>
      <c r="B13" s="39" t="inlineStr">
        <is>
          <t>Compila. Falla 3 de 19 pasos del harness (pasos 1,13,18; numerados desde 0).</t>
        </is>
      </c>
      <c r="C13" s="41" t="n">
        <v>2</v>
      </c>
      <c r="D13" s="41" t="n">
        <v>3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2: control de marcha correcto (flanco, enclavamiento, paro prioritario, pérdida de permisivos); solo causaBloqueo ignora la temporización del aceite (pasos 1,13,18); IEC 3: compila con TON y R_TRIG estándar bien instanciados.</t>
        </is>
      </c>
      <c r="J13" s="42" t="inlineStr">
        <is>
          <t>Diagnóstico inconsistente con el permisivo temporizado usado para el arranque.</t>
        </is>
      </c>
      <c r="K13" s="42" t="inlineStr">
        <is>
          <t>Nombres y comentarios útiles por bloque.</t>
        </is>
      </c>
      <c r="L13" s="42" t="inlineStr">
        <is>
          <t>La condición de permisivos se repite en dos lugares sin variable común.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I8-4361</t>
        </is>
      </c>
      <c r="B14" s="39" t="inlineStr">
        <is>
          <t>Compila. Pasa los 19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 2: compila, TON bien usado; flanco manual en lugar de R_TRIG.</t>
        </is>
      </c>
      <c r="J14" s="42" t="inlineStr">
        <is>
          <t>Prioridad paro/pérdida de permisivo explícita, enclavamiento sin rearranque automático y causaBloqueo coherente con el permisivo temporizado.</t>
        </is>
      </c>
      <c r="K14" s="42" t="inlineStr">
        <is>
          <t>Secciones claras y comentarios que resumen reglas de arranque/paro.</t>
        </is>
      </c>
      <c r="L14" s="42" t="inlineStr">
        <is>
          <t>Permisivos agrupados en una variable y diagnóstico centralizado; cambios localizados, sin parametrizar el tiempo como entrada.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I8-3472</t>
        </is>
      </c>
      <c r="B15" s="39" t="inlineStr">
        <is>
          <t>Compila. Pasa los 19 pasos del harness.</t>
        </is>
      </c>
      <c r="C15" s="40" t="n">
        <v>3</v>
      </c>
      <c r="D15" s="41" t="n">
        <v>2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2: compila, TON bien usado; flanco manual en lugar de R_TRIG.</t>
        </is>
      </c>
      <c r="J15" s="42" t="inlineStr">
        <is>
          <t>Prioridad paro/pérdida de permisivo explícita, enclavamiento sin rearranque automático y causaBloqueo coherente con el permisivo temporizado.</t>
        </is>
      </c>
      <c r="K15" s="42" t="inlineStr">
        <is>
          <t>Secciones numeradas y bien comentadas (un comentario dice 'evaluado al final' sin serlo, detalle menor).</t>
        </is>
      </c>
      <c r="L15" s="42" t="inlineStr">
        <is>
          <t>Permisivos agrupados en una variable y diagnóstico centralizado; cambios localizados, sin parametrizar el tiempo como entrada.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I8-9074</t>
        </is>
      </c>
      <c r="B16" s="39" t="inlineStr">
        <is>
          <t>Compila. Pasa los 19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3: compila, TON y R_TRIG estándar bien instanciados, T#3S correcto.</t>
        </is>
      </c>
      <c r="J16" s="42" t="inlineStr">
        <is>
          <t>Prioridad paro/pérdida de permisivo explícita, enclavamiento sin rearranque automático y causaBloqueo coherente con el permisivo temporizado.</t>
        </is>
      </c>
      <c r="K16" s="42" t="inlineStr">
        <is>
          <t>Nombres claros y comentarios breves por sección.</t>
        </is>
      </c>
      <c r="L16" s="42" t="inlineStr">
        <is>
          <t>Permisivos agrupados en una variable y diagnóstico centralizado; cambios localizados, sin parametrizar el tiempo como entrada.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I8-1307</t>
        </is>
      </c>
      <c r="B17" s="39" t="inlineStr">
        <is>
          <t>Compila. Falla 9 de 19 pasos del harness (pasos 5,6,11,12,13,14,15,17,18; numerados desde 0).</t>
        </is>
      </c>
      <c r="C17" s="41" t="n">
        <v>1</v>
      </c>
      <c r="D17" s="41" t="n">
        <v>2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Funcional 1: arranque por flanco, enclavamiento y paro funcionan, pero el compresor no se detiene ante la pérdida de permisivos (falla 5,6,11,12,...); IEC 2: compila, flanco manual.</t>
        </is>
      </c>
      <c r="J17" s="42" t="inlineStr">
        <is>
          <t>Falta la transición de paro por pérdida de permisivo: lógica incompleta en un caso de seguridad.</t>
        </is>
      </c>
      <c r="K17" s="42" t="inlineStr">
        <is>
          <t>Nombres y comentarios útiles.</t>
        </is>
      </c>
      <c r="L17" s="42" t="inlineStr">
        <is>
          <t>Diagnóstico centralizado reutilizado como permisivo; cambios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I8-3657</t>
        </is>
      </c>
      <c r="B18" s="39" t="inlineStr">
        <is>
          <t>Compila. Falla 9 de 19 pasos del harness (pasos 1,3,4,10,13,14,15,17,18; numerados desde 0).</t>
        </is>
      </c>
      <c r="C18" s="41" t="n">
        <v>0</v>
      </c>
      <c r="D18" s="41" t="n">
        <v>2</v>
      </c>
      <c r="E18" s="41" t="n">
        <v>0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Funcional 0: usa TP en lugar de TON, por lo que tPresion.Q solo es TRUE durante los primeros 3 s tras activarse pOilOk; el arranque nominal tras 3 s falla (pasos 3,4,10), no se detiene por pérdida de permisivo y causaBloqueo ignora la temporización; IEC 2: compila con declaraciones correctas.</t>
        </is>
      </c>
      <c r="J18" s="42" t="inlineStr">
        <is>
          <t>La elección de TP invierte el sentido del permisivo de aceite y no existe transición de paro por pérdida de permisivo: contradicción grave.</t>
        </is>
      </c>
      <c r="K18" s="42" t="inlineStr">
        <is>
          <t>Nombres descriptivos y comentarios breves por sección.</t>
        </is>
      </c>
      <c r="L18" s="42" t="inlineStr">
        <is>
          <t>Permisivo agrupado en una variable y lógica localizada.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I8-7627</t>
        </is>
      </c>
      <c r="B19" s="39" t="inlineStr">
        <is>
          <t>Compila. Falla 8 de 19 pasos del harness (pasos 1,7,8,9,13,14,15,18; numerados desde 0).</t>
        </is>
      </c>
      <c r="C19" s="41" t="n">
        <v>1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Funcional 1: arranca y se detiene en el caso nominal, pero arranca por nivel, el temporizador no participa en los permisivos y la marcha se impone al paro simultáneo (falla 1,7,8,9,13,14,15,18); IEC 2: compila.</t>
        </is>
      </c>
      <c r="J19" s="42" t="inlineStr">
        <is>
          <t>Temporizador sin efecto, memorias de botones que no se usan y paro anulado por la marcha en el mismo ciclo: condiciones contradictorias.</t>
        </is>
      </c>
      <c r="K19" s="42" t="inlineStr">
        <is>
          <t>IF vacío y comentarios de 'Inicialización' que no corresponden; estructura confusa.</t>
        </is>
      </c>
      <c r="L19" s="42" t="inlineStr">
        <is>
          <t>Lógica de comp/estadoMarcha duplicada y condiciones repetidas; modificar exige reescribir.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I8-3596</t>
        </is>
      </c>
      <c r="B20" s="39" t="inlineStr">
        <is>
          <t>Compila. Pasa los 19 pasos del harness.</t>
        </is>
      </c>
      <c r="C20" s="40" t="n">
        <v>3</v>
      </c>
      <c r="D20" s="41" t="n">
        <v>2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 2: compila, TON bien usado; flanco manual en lugar de R_TRIG.</t>
        </is>
      </c>
      <c r="J20" s="42" t="inlineStr">
        <is>
          <t>Prioridad paro/pérdida de permisivo explícita, enclavamiento sin rearranque automático y causaBloqueo coherente con el permisivo temporizado.</t>
        </is>
      </c>
      <c r="K20" s="42" t="inlineStr">
        <is>
          <t>Secciones claras y comentarios que explican el porqué.</t>
        </is>
      </c>
      <c r="L20" s="42" t="inlineStr">
        <is>
          <t>Permisivos agrupados en una variable y diagnóstico centralizado; cambios localizados, sin parametrizar el tiempo como entrada.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I8-1205</t>
        </is>
      </c>
      <c r="B21" s="39" t="inlineStr">
        <is>
          <t>No compila (5 errores).</t>
        </is>
      </c>
      <c r="C21" s="40" t="n">
        <v>0</v>
      </c>
      <c r="D21" s="40" t="n">
        <v>0</v>
      </c>
      <c r="E21" s="41" t="n">
        <v>0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Temporizador solo se llama en flanco o con IN:=FALSE, el arranque es por nivel y la pérdida de permisivos no detiene: condiciones contradictorias.</t>
        </is>
      </c>
      <c r="K21" s="42" t="inlineStr">
        <is>
          <t>Nombres descriptivos y comentarios por sección, aunque 'Inicialización del temporizador' es engañoso.</t>
        </is>
      </c>
      <c r="L21" s="42" t="inlineStr">
        <is>
          <t>Condiciones repetidas y llamadas dispersas al temporizador; difícil de mantener.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I8-9515</t>
        </is>
      </c>
      <c r="B22" s="39" t="inlineStr">
        <is>
          <t>Compila. Falla 10 de 19 pasos del harness (pasos 1,5,6,11,12,13,14,15,17,18;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Funcional 1: arranque por flanco y paro funcionan, pero no se detiene al perder permisivos y causaBloqueo ignora la temporización (falla 10 de 19 pasos); IEC 2: compila, flanco manual.</t>
        </is>
      </c>
      <c r="J22" s="42" t="inlineStr">
        <is>
          <t>Falta la transición de paro por pérdida de permisivo y el diagnóstico no coincide con el permisivo temporizado.</t>
        </is>
      </c>
      <c r="K22" s="42" t="inlineStr">
        <is>
          <t>Nombres y comentarios útiles.</t>
        </is>
      </c>
      <c r="L22" s="42" t="inlineStr">
        <is>
          <t>Permisivos agrupados en una variable; cambios localizados.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I8-4489</t>
        </is>
      </c>
      <c r="B23" s="39" t="inlineStr">
        <is>
          <t>Compila. Pasa los 19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IEC 3: compila, TON y R_TRIG estándar bien instanciados.</t>
        </is>
      </c>
      <c r="J23" s="42" t="inlineStr">
        <is>
          <t>Prioridad paro/pérdida de permisivo explícita, enclavamiento sin rearranque automático y causaBloqueo coherente con el permisivo temporizado. Permisivos derivados del diagnóstico, sin duplicación.</t>
        </is>
      </c>
      <c r="K23" s="42" t="inlineStr">
        <is>
          <t>Comentarios breves y útiles por sección.</t>
        </is>
      </c>
      <c r="L23" s="42" t="inlineStr">
        <is>
          <t>Permisivos agrupados en una variable y diagnóstico centralizado; cambios localizados, sin parametrizar el tiempo como entrada.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I8-5557</t>
        </is>
      </c>
      <c r="B24" s="39" t="inlineStr">
        <is>
          <t>Compila. Falla 9 de 19 pasos del harness (pasos 1,3,4,10,13,14,15,17,18; numerados desde 0).</t>
        </is>
      </c>
      <c r="C24" s="41" t="n">
        <v>0</v>
      </c>
      <c r="D24" s="41" t="n">
        <v>2</v>
      </c>
      <c r="E24" s="41" t="n">
        <v>0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Funcional 0: usa TP en lugar de TON, por lo que tPresion.Q solo es TRUE durante los primeros 3 s tras activarse pOilOk; el arranque nominal tras 3 s falla (pasos 3,4,10), no se detiene por pérdida de permisivo y causaBloqueo ignora la temporización; IEC 2: compila con declaraciones correctas.</t>
        </is>
      </c>
      <c r="J24" s="42" t="inlineStr">
        <is>
          <t>La elección de TP invierte el sentido del permisivo de aceite y no existe transición de paro por pérdida de permisivo: contradicción grave.</t>
        </is>
      </c>
      <c r="K24" s="42" t="inlineStr">
        <is>
          <t>Nombres descriptivos y comentarios breves por sección.</t>
        </is>
      </c>
      <c r="L24" s="42" t="inlineStr">
        <is>
          <t>Permisivo agrupado en una variable y lógica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I8-5917</t>
        </is>
      </c>
      <c r="B25" s="39" t="inlineStr">
        <is>
          <t>Compila. Pasa los 19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2: compila, TON bien usado; flanco manual en lugar de R_TRIG.</t>
        </is>
      </c>
      <c r="J25" s="42" t="inlineStr">
        <is>
          <t>Prioridad paro/pérdida de permisivo explícita, enclavamiento sin rearranque automático y causaBloqueo coherente con el permisivo temporizado.</t>
        </is>
      </c>
      <c r="K25" s="42" t="inlineStr">
        <is>
          <t>Nombres y comentarios útiles en cada rama.</t>
        </is>
      </c>
      <c r="L25" s="42" t="inlineStr">
        <is>
          <t>Diagnóstico reutilizado como permisivo; cambios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I8-6693</t>
        </is>
      </c>
      <c r="B26" s="39" t="inlineStr">
        <is>
          <t>Compila. Falla 9 de 19 pasos del harness (pasos 1,3,4,10,13,14,15,17,18;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Funcional 0: usa TP en lugar de TON, por lo que tPresion.Q solo es TRUE durante los primeros 3 s tras activarse pOilOk; el arranque nominal tras 3 s falla (pasos 3,4,10), no se detiene por pérdida de permisivo y causaBloqueo ignora la temporización; IEC 2: compila con declaraciones correctas.</t>
        </is>
      </c>
      <c r="J26" s="42" t="inlineStr">
        <is>
          <t>La elección de TP invierte el sentido del permisivo de aceite y no existe transición de paro por pérdida de permisivo: contradicción grave.</t>
        </is>
      </c>
      <c r="K26" s="42" t="inlineStr">
        <is>
          <t>Nombres descriptivos y comentarios breves por sección.</t>
        </is>
      </c>
      <c r="L26" s="42" t="inlineStr">
        <is>
          <t>Permisivo agrupado en una variable y lógica localizada.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I8-5439</t>
        </is>
      </c>
      <c r="B27" s="39" t="inlineStr">
        <is>
          <t>Compila. Pasa los 19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 3: compila, TON y R_TRIG estándar bien instanciados.</t>
        </is>
      </c>
      <c r="J27" s="42" t="inlineStr">
        <is>
          <t>Prioridad paro/pérdida de permisivo explícita, enclavamiento sin rearranque automático y causaBloqueo coherente con el permisivo temporizado. Permisivos derivados del diagnóstico.</t>
        </is>
      </c>
      <c r="K27" s="42" t="inlineStr">
        <is>
          <t>Pasos numerados y comentarios que explican prioridades.</t>
        </is>
      </c>
      <c r="L27" s="42" t="inlineStr">
        <is>
          <t>Permisivos agrupados en una variable y diagnóstico centralizado; cambios localizados, sin parametrizar el tiempo como entrada.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I8-4402</t>
        </is>
      </c>
      <c r="B28" s="39" t="inlineStr">
        <is>
          <t>Compila. Pasa los 19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 3: compila, TON y R_TRIG estándar bien instanciados.</t>
        </is>
      </c>
      <c r="J28" s="42" t="inlineStr">
        <is>
          <t>Prioridad paro/pérdida de permisivo explícita, enclavamiento sin rearranque automático y causaBloqueo coherente con el permisivo temporizado. Permisivos derivados del diagnóstico.</t>
        </is>
      </c>
      <c r="K28" s="42" t="inlineStr">
        <is>
          <t>Pasos numerados y comentarios explicativos.</t>
        </is>
      </c>
      <c r="L28" s="42" t="inlineStr">
        <is>
          <t>Permisivos agrupados en una variable y diagnóstico centralizado; cambios localizados, sin parametrizar el tiempo como entrada.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I8-1759</t>
        </is>
      </c>
      <c r="B29" s="39" t="inlineStr">
        <is>
          <t>Compila. Pasa los 19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IEC 3: compila, TON y R_TRIG estándar bien instanciados.</t>
        </is>
      </c>
      <c r="J29" s="42" t="inlineStr">
        <is>
          <t>Prioridad paro/pérdida de permisivo explícita, enclavamiento sin rearranque automático y causaBloqueo coherente con el permisivo temporizado. Permisivos derivados del diagnóstico.</t>
        </is>
      </c>
      <c r="K29" s="42" t="inlineStr">
        <is>
          <t>Nombres claros y comentarios breves.</t>
        </is>
      </c>
      <c r="L29" s="42" t="inlineStr">
        <is>
          <t>Permisivos agrupados en una variable y diagnóstico centralizado; cambios localizados, sin parametrizar el tiempo como entrada.</t>
        </is>
      </c>
      <c r="M29" s="42" t="n"/>
      <c r="N29" s="40">
        <f>IF(COUNT(C29:G29)=5,"Completa","Falta")</f>
        <v/>
      </c>
    </row>
    <row r="30"/>
  </sheetData>
  <dataValidations count="3">
    <dataValidation sqref="C8:C10 C13 C17:C19 C22 C24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0 D22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A1 — Controlador PID con anti-windup (Avanzado)</t>
        </is>
      </c>
    </row>
    <row r="2" ht="15" customHeight="1" s="22">
      <c r="A2" s="33" t="inlineStr">
        <is>
          <t>Lee cada respuesta por su código en respuestas/Respuestas_A1.html.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A1-9962</t>
        </is>
      </c>
      <c r="B6" s="39" t="inlineStr">
        <is>
          <t>Compila. Pasa los 11 pasos del harness.</t>
        </is>
      </c>
      <c r="C6" s="40" t="n">
        <v>3</v>
      </c>
      <c r="D6" s="41" t="n">
        <v>3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sin cambios con TIME_TO_REAL y FB bien declarado; construcción idiomática.</t>
        </is>
      </c>
      <c r="J6" s="42" t="inlineStr">
        <is>
          <t>Clamping correcto sobre la CV previa, protección de dt; sin tratamiento del salto derivativo inicial.</t>
        </is>
      </c>
      <c r="K6" s="42" t="inlineStr">
        <is>
          <t>Nombres descriptivos y comentarios útiles por sección.</t>
        </is>
      </c>
      <c r="L6" s="42" t="inlineStr">
        <is>
          <t>Cálculo sin duplicación; límites 0/100 como literales.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A1-1725</t>
        </is>
      </c>
      <c r="B7" s="39" t="inlineStr">
        <is>
          <t>No compila (32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Clamping sobre salida tentativa coherente y protección de dt; sin contradicciones.</t>
        </is>
      </c>
      <c r="K7" s="42" t="inlineStr">
        <is>
          <t>Nombres y comentarios claros por bloque.</t>
        </is>
      </c>
      <c r="L7" s="42" t="inlineStr">
        <is>
          <t>La fórmula PID se repite tres veces; límites literales.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A1-9421</t>
        </is>
      </c>
      <c r="B8" s="39" t="inlineStr">
        <is>
          <t>No compila (29 errores).</t>
        </is>
      </c>
      <c r="C8" s="40" t="n">
        <v>0</v>
      </c>
      <c r="D8" s="40" t="n">
        <v>0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39" t="inlineStr"/>
      <c r="J8" s="42" t="inlineStr">
        <is>
          <t>Clamping con integral tentativa coherente; Ti&lt;=0 reinicia la integral; dt protegido.</t>
        </is>
      </c>
      <c r="K8" s="42" t="inlineStr">
        <is>
          <t>Términos P, I, D separados y comentados.</t>
        </is>
      </c>
      <c r="L8" s="42" t="inlineStr">
        <is>
          <t>Términos separados facilitan cambios; leve repetición de integral+e*dt.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A1-8114</t>
        </is>
      </c>
      <c r="B9" s="39" t="inlineStr">
        <is>
          <t>No compila (24 errores).</t>
        </is>
      </c>
      <c r="C9" s="40" t="n">
        <v>0</v>
      </c>
      <c r="D9" s="40" t="n">
        <v>0</v>
      </c>
      <c r="E9" s="41" t="n">
        <v>2</v>
      </c>
      <c r="F9" s="41" t="n">
        <v>2</v>
      </c>
      <c r="G9" s="41" t="n">
        <v>2</v>
      </c>
      <c r="H9" s="40">
        <f>IF(COUNT(C9:G9)=5,SUM(C9:G9),"")</f>
        <v/>
      </c>
      <c r="I9" s="39" t="inlineStr"/>
      <c r="J9" s="42" t="inlineStr">
        <is>
          <t>Clamping sobre CV del ciclo previo, integral reiniciada con Ti&lt;=0, división protegida.</t>
        </is>
      </c>
      <c r="K9" s="42" t="inlineStr">
        <is>
          <t>Secciones delimitadas y nombres claros.</t>
        </is>
      </c>
      <c r="L9" s="42" t="inlineStr">
        <is>
          <t>Cambios localizados; límites como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A1-6268</t>
        </is>
      </c>
      <c r="B10" s="39" t="inlineStr">
        <is>
          <t>No compila (18 errores).</t>
        </is>
      </c>
      <c r="C10" s="40" t="n">
        <v>0</v>
      </c>
      <c r="D10" s="40" t="n">
        <v>0</v>
      </c>
      <c r="E10" s="41" t="n">
        <v>1</v>
      </c>
      <c r="F10" s="41" t="n">
        <v>1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Anti-windup evalúa solo el término P e ignora el signo del error; variable integral_limit sin uso; división sin protección.</t>
        </is>
      </c>
      <c r="K10" s="42" t="inlineStr">
        <is>
          <t>Comentarios en inglés y variable declarada sin uso que confunde.</t>
        </is>
      </c>
      <c r="L10" s="42" t="inlineStr">
        <is>
          <t>Variable muerta y literales dispersos.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A1-7933</t>
        </is>
      </c>
      <c r="B11" s="39" t="inlineStr">
        <is>
          <t>No compila (27 errores).</t>
        </is>
      </c>
      <c r="C11" s="40" t="n">
        <v>0</v>
      </c>
      <c r="D11" s="40" t="n">
        <v>0</v>
      </c>
      <c r="E11" s="41" t="n">
        <v>2</v>
      </c>
      <c r="F11" s="41" t="n">
        <v>2</v>
      </c>
      <c r="G11" s="41" t="n">
        <v>2</v>
      </c>
      <c r="H11" s="40">
        <f>IF(COUNT(C11:G11)=5,SUM(C11:G11),"")</f>
        <v/>
      </c>
      <c r="I11" s="39" t="inlineStr"/>
      <c r="J11" s="42" t="inlineStr">
        <is>
          <t>Clamping sobre salida preliminar con la integral anterior; dt protegido; Ti&lt;=0 reinicia integral.</t>
        </is>
      </c>
      <c r="K11" s="42" t="inlineStr">
        <is>
          <t>Términos bien separados y comentados.</t>
        </is>
      </c>
      <c r="L11" s="42" t="inlineStr">
        <is>
          <t>Término integral recalculado dos veces; resto localizado.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A1-7927</t>
        </is>
      </c>
      <c r="B12" s="39" t="inlineStr">
        <is>
          <t>No compila (30 errores).</t>
        </is>
      </c>
      <c r="C12" s="40" t="n">
        <v>0</v>
      </c>
      <c r="D12" s="40" t="n">
        <v>0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39" t="inlineStr"/>
      <c r="J12" s="42" t="inlineStr">
        <is>
          <t>Si dt&lt;=0 congela la salida; clamping con CV previa correcto.</t>
        </is>
      </c>
      <c r="K12" s="42" t="inlineStr">
        <is>
          <t>Estructura clara con comentarios útiles.</t>
        </is>
      </c>
      <c r="L12" s="42" t="inlineStr">
        <is>
          <t>Fórmula repetida en dos ramas; cambios localizados.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A1-6125</t>
        </is>
      </c>
      <c r="B13" s="39" t="inlineStr">
        <is>
          <t>No compila (23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Integra Kp·e·dt/Ti directamente; clamping coherente y dt protegido.</t>
        </is>
      </c>
      <c r="K13" s="42" t="inlineStr">
        <is>
          <t>Secciones numeradas P, I, D con comentarios.</t>
        </is>
      </c>
      <c r="L13" s="42" t="inlineStr">
        <is>
          <t>Términos separados; límites literales.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A1-3038</t>
        </is>
      </c>
      <c r="B14" s="39" t="inlineStr">
        <is>
          <t>No compila (2 errores).</t>
        </is>
      </c>
      <c r="C14" s="40" t="n">
        <v>0</v>
      </c>
      <c r="D14" s="40" t="n">
        <v>0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Con Ti&lt;=0 divide integral/Ti (división por cero) y el clamping fuerza el signo de la integral en lugar de detener su acumulación.</t>
        </is>
      </c>
      <c r="K14" s="42" t="inlineStr">
        <is>
          <t>Nombres claros y comentarios breves de qué se hace.</t>
        </is>
      </c>
      <c r="L14" s="42" t="inlineStr">
        <is>
          <t>Sin parámetros declarados; literales y fórmula rígida.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A1-7444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2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sin cambios; TIME_TO_REAL, VAR CONSTANT y FB idiomáticos.</t>
        </is>
      </c>
      <c r="J15" s="42" t="inlineStr">
        <is>
          <t>Clamping correcto con banderas de saturación; variable saturated sin uso; integral no se reinicia con Ti&lt;=0.</t>
        </is>
      </c>
      <c r="K15" s="42" t="inlineStr">
        <is>
          <t>Secciones numeradas, constantes nombradas y comentarios que explican decisiones.</t>
        </is>
      </c>
      <c r="L15" s="42" t="inlineStr">
        <is>
          <t>Límites en VAR CONSTANT; diseño localizado aunque límites no son entradas.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A1-7874</t>
        </is>
      </c>
      <c r="B16" s="39" t="inlineStr">
        <is>
          <t>No compila (17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Integral sumada y luego restada; con Ti&lt;=0 y CV saturada divide entre Ti; sin protección de división.</t>
        </is>
      </c>
      <c r="K16" s="42" t="inlineStr">
        <is>
          <t>Comentarios correctos en español y nombres claros.</t>
        </is>
      </c>
      <c r="L16" s="42" t="inlineStr">
        <is>
          <t>Expresión e*dt/Ti repetida tres veces;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A1-9190</t>
        </is>
      </c>
      <c r="B17" s="39" t="inlineStr">
        <is>
          <t>No compila (25 errores).</t>
        </is>
      </c>
      <c r="C17" s="40" t="n">
        <v>0</v>
      </c>
      <c r="D17" s="40" t="n">
        <v>0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El anti-windup evalúa solo el término P, no la salida real.</t>
        </is>
      </c>
      <c r="K17" s="42" t="inlineStr">
        <is>
          <t>Constantes y comentarios por término.</t>
        </is>
      </c>
      <c r="L17" s="42" t="inlineStr">
        <is>
          <t>Límites en VAR CONSTANT; expresión de integración repetida.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A1-6243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clamping recorta el signo de la integral en vez de bloquear su acumulación; sin protección de dt ni reinicio con Ti&lt;=0.</t>
        </is>
      </c>
      <c r="K18" s="42" t="inlineStr">
        <is>
          <t>Estructura secuencial clara con comentarios.</t>
        </is>
      </c>
      <c r="L18" s="42" t="inlineStr">
        <is>
          <t>Literales sin parametrizar.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A1-6380</t>
        </is>
      </c>
      <c r="B19" s="39" t="inlineStr">
        <is>
          <t>No compila (2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39" t="inlineStr"/>
      <c r="J19" s="42" t="inlineStr">
        <is>
          <t>Suma y resta de la integral coherente, pero integral no se reinicia con Ti&lt;=0 y no hay protección de dt.</t>
        </is>
      </c>
      <c r="K19" s="42" t="inlineStr">
        <is>
          <t>Estructura secuencial clara con comentarios.</t>
        </is>
      </c>
      <c r="L19" s="42" t="inlineStr">
        <is>
          <t>Expresión repetida tres veces; literales.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A1-5398</t>
        </is>
      </c>
      <c r="B20" s="39" t="inlineStr">
        <is>
          <t>No compila (17 errores).</t>
        </is>
      </c>
      <c r="C20" s="40" t="n">
        <v>0</v>
      </c>
      <c r="D20" s="40" t="n">
        <v>0</v>
      </c>
      <c r="E20" s="41" t="n">
        <v>1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Integral sumada y luego restada; con Ti&lt;=0 y CV saturada divide entre Ti; sin protección de división.</t>
        </is>
      </c>
      <c r="K20" s="42" t="inlineStr">
        <is>
          <t>Comentarios correctos y nombres claros.</t>
        </is>
      </c>
      <c r="L20" s="42" t="inlineStr">
        <is>
          <t>Expresión repetida tres veces;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A1-9749</t>
        </is>
      </c>
      <c r="B21" s="39" t="inlineStr">
        <is>
          <t>No compila (16 errores).</t>
        </is>
      </c>
      <c r="C21" s="40" t="n">
        <v>0</v>
      </c>
      <c r="D21" s="40" t="n">
        <v>0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Deshace la integración tras saturar según el signo del error; ciclo nulo con valor por defecto.</t>
        </is>
      </c>
      <c r="K21" s="42" t="inlineStr">
        <is>
          <t>Comentarios en inglés claros; 'Initialization' mal rotulado.</t>
        </is>
      </c>
      <c r="L21" s="42" t="inlineStr">
        <is>
          <t>Literales y resta de integral duplicada.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A1-9704</t>
        </is>
      </c>
      <c r="B22" s="39" t="inlineStr">
        <is>
          <t>No compila (25 errores).</t>
        </is>
      </c>
      <c r="C22" s="40" t="n">
        <v>0</v>
      </c>
      <c r="D22" s="40" t="n">
        <v>0</v>
      </c>
      <c r="E22" s="41" t="n">
        <v>0</v>
      </c>
      <c r="F22" s="41" t="n">
        <v>1</v>
      </c>
      <c r="G22" s="41" t="n">
        <v>2</v>
      </c>
      <c r="H22" s="40">
        <f>IF(COUNT(C22:G22)=5,SUM(C22:G22),"")</f>
        <v/>
      </c>
      <c r="I22" s="39" t="inlineStr"/>
      <c r="J22" s="42" t="inlineStr">
        <is>
          <t>La integral sigue acumulando (integral := integral es nulo) y además se omite de la CV al saturar; contradictorio.</t>
        </is>
      </c>
      <c r="K22" s="42" t="inlineStr">
        <is>
          <t>Comentarios afirman lo contrario de lo que hace el código.</t>
        </is>
      </c>
      <c r="L22" s="42" t="inlineStr">
        <is>
          <t>Límites en VAR CONSTANT.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A1-6233</t>
        </is>
      </c>
      <c r="B23" s="39" t="inlineStr">
        <is>
          <t>No compila (18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Unidades inconsistentes: resta e sin dt y la integral no se multiplica por Kp como P.</t>
        </is>
      </c>
      <c r="K23" s="42" t="inlineStr">
        <is>
          <t>Comentarios en inglés legibles y nombres claros.</t>
        </is>
      </c>
      <c r="L23" s="42" t="inlineStr">
        <is>
          <t>Literales y fórmula sin parámetros.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A1-7633</t>
        </is>
      </c>
      <c r="B24" s="39" t="inlineStr">
        <is>
          <t>No compila (28 errores).</t>
        </is>
      </c>
      <c r="C24" s="40" t="n">
        <v>0</v>
      </c>
      <c r="D24" s="40" t="n">
        <v>0</v>
      </c>
      <c r="E24" s="41" t="n">
        <v>0</v>
      </c>
      <c r="F24" s="41" t="n">
        <v>2</v>
      </c>
      <c r="G24" s="41" t="n">
        <v>2</v>
      </c>
      <c r="H24" s="40">
        <f>IF(COUNT(C24:G24)=5,SUM(C24:G24),"")</f>
        <v/>
      </c>
      <c r="I24" s="39" t="inlineStr"/>
      <c r="J24" s="42" t="inlineStr">
        <is>
          <t>Con Ti&lt;=0 calcula (1/Ti)*integral (división por cero); derivada sin protección de dt.</t>
        </is>
      </c>
      <c r="K24" s="42" t="inlineStr">
        <is>
          <t>Comentarios y constantes ordenados.</t>
        </is>
      </c>
      <c r="L24" s="42" t="inlineStr">
        <is>
          <t>Límites en VAR CONSTANT; resta de integral duplicada.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A1-5864</t>
        </is>
      </c>
      <c r="B25" s="39" t="inlineStr">
        <is>
          <t>No compila (11 errores).</t>
        </is>
      </c>
      <c r="C25" s="40" t="n">
        <v>0</v>
      </c>
      <c r="D25" s="40" t="n">
        <v>0</v>
      </c>
      <c r="E25" s="41" t="n">
        <v>1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Integral sumada y restada; con Ti&lt;=0 y CV saturada divide entre Ti; sin protección de división.</t>
        </is>
      </c>
      <c r="K25" s="42" t="inlineStr">
        <is>
          <t>Comentarios correctos y nombres claros.</t>
        </is>
      </c>
      <c r="L25" s="42" t="inlineStr">
        <is>
          <t>Expresión repetida tres veces;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A1-5313</t>
        </is>
      </c>
      <c r="B26" s="39" t="inlineStr">
        <is>
          <t>No compila (24 errores).</t>
        </is>
      </c>
      <c r="C26" s="40" t="n">
        <v>0</v>
      </c>
      <c r="D26" s="40" t="n">
        <v>0</v>
      </c>
      <c r="E26" s="41" t="n">
        <v>1</v>
      </c>
      <c r="F26" s="41" t="n">
        <v>2</v>
      </c>
      <c r="G26" s="41" t="n">
        <v>2</v>
      </c>
      <c r="H26" s="40">
        <f>IF(COUNT(C26:G26)=5,SUM(C26:G26),"")</f>
        <v/>
      </c>
      <c r="I26" s="39" t="inlineStr"/>
      <c r="J26" s="42" t="inlineStr">
        <is>
          <t>La derivada no se multiplica por Kp, lo que se aparta de la forma estándar pedida.</t>
        </is>
      </c>
      <c r="K26" s="42" t="inlineStr">
        <is>
          <t>Secciones comentadas y nombres claros.</t>
        </is>
      </c>
      <c r="L26" s="42" t="inlineStr">
        <is>
          <t>Cálculo localizado por términos.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A1-2241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2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Compila sin cambios; conversiones estándar TIME_TO_DINT/DINT_TO_REAL y RETURN idiomáticos.</t>
        </is>
      </c>
      <c r="J27" s="42" t="inlineStr">
        <is>
          <t>Clamping correcto y retorno seguro con Ts&lt;=0; integral no se reinicia al desactivar Ti.</t>
        </is>
      </c>
      <c r="K27" s="42" t="inlineStr">
        <is>
          <t>Secciones numeradas con comentarios que explican el porqué y la fórmula.</t>
        </is>
      </c>
      <c r="L27" s="42" t="inlineStr">
        <is>
          <t>Cambios localizados; límites como literales repetidos.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A1-6805</t>
        </is>
      </c>
      <c r="B28" s="39" t="inlineStr">
        <is>
          <t>No compila (24 errores).</t>
        </is>
      </c>
      <c r="C28" s="40" t="n">
        <v>0</v>
      </c>
      <c r="D28" s="40" t="n">
        <v>0</v>
      </c>
      <c r="E28" s="41" t="n">
        <v>2</v>
      </c>
      <c r="F28" s="41" t="n">
        <v>3</v>
      </c>
      <c r="G28" s="41" t="n">
        <v>2</v>
      </c>
      <c r="H28" s="40">
        <f>IF(COUNT(C28:G28)=5,SUM(C28:G28),"")</f>
        <v/>
      </c>
      <c r="I28" s="39" t="inlineStr"/>
      <c r="J28" s="42" t="inlineStr">
        <is>
          <t>Clamping correcto con bandera explícita, Ti&lt;=0 reinicia integral, dt protegido.</t>
        </is>
      </c>
      <c r="K28" s="42" t="inlineStr">
        <is>
          <t>Secciones numeradas y comentarios que justifican la lógica.</t>
        </is>
      </c>
      <c r="L28" s="42" t="inlineStr">
        <is>
          <t>Términos separados; límites literales.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A1-8493</t>
        </is>
      </c>
      <c r="B29" s="39" t="inlineStr">
        <is>
          <t>No compila (24 errores).</t>
        </is>
      </c>
      <c r="C29" s="40" t="n">
        <v>0</v>
      </c>
      <c r="D29" s="40" t="n">
        <v>0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39" t="inlineStr"/>
      <c r="J29" s="42" t="inlineStr">
        <is>
          <t>Clamping correcto con CV previa y dt protegido; integral no se reinicia con Ti&lt;=0 pero no se usa.</t>
        </is>
      </c>
      <c r="K29" s="42" t="inlineStr">
        <is>
          <t>Comentarios útiles con la fórmula.</t>
        </is>
      </c>
      <c r="L29" s="42" t="inlineStr">
        <is>
          <t>Cálculo localizado; límites literales.</t>
        </is>
      </c>
      <c r="M29" s="42" t="n"/>
      <c r="N29" s="40">
        <f>IF(COUNT(C29:G29)=5,"Completa","Falta")</f>
        <v/>
      </c>
    </row>
    <row r="30"/>
  </sheetData>
  <dataValidations count="2">
    <dataValidation sqref="D6 D15 D27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A2 — Control por lotes multifase (Avanzado)</t>
        </is>
      </c>
    </row>
    <row r="2" ht="15" customHeight="1" s="22">
      <c r="A2" s="33" t="inlineStr">
        <is>
          <t>Lee cada respuesta por su código en respuestas/Respuestas_A2.html.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A2-8363</t>
        </is>
      </c>
      <c r="B6" s="39" t="inlineStr">
        <is>
          <t>Compila. Pasa los 25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Compila sin cambios; TON y R_TRIG bien instanciados, CASE idiomático.</t>
        </is>
      </c>
      <c r="J6" s="42" t="inlineStr">
        <is>
          <t>Abort y arranque por flanco, temporizador reiniciado fuera de fase 4 y salidas derivadas de la fase: sin estados inconsistentes.</t>
        </is>
      </c>
      <c r="K6" s="42" t="inlineStr">
        <is>
          <t>Separa flancos, abort, máquina de estados, temporizador y salidas con comentarios claros.</t>
        </is>
      </c>
      <c r="L6" s="42" t="inlineStr">
        <is>
          <t>Una sola definición de cada salida; 60.0 y T#120S como literales.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A2-7833</t>
        </is>
      </c>
      <c r="B7" s="39" t="inlineStr">
        <is>
          <t>Compila. Pasa los 25 pasos del harness.</t>
        </is>
      </c>
      <c r="C7" s="40" t="n">
        <v>3</v>
      </c>
      <c r="D7" s="41" t="n">
        <v>2</v>
      </c>
      <c r="E7" s="41" t="n">
        <v>1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Compila y usa TON correctamente, aunque omite ';' tras END_IF/END_CASE (tolerado por CODESYS).</t>
        </is>
      </c>
      <c r="J7" s="42" t="inlineStr">
        <is>
          <t>El TON nunca recibe IN:=FALSE, por lo que en un segundo lote la mezcla se saltaría; recetaEnCurso redundante.</t>
        </is>
      </c>
      <c r="K7" s="42" t="inlineStr">
        <is>
          <t>Fases comentadas y nombres claros.</t>
        </is>
      </c>
      <c r="L7" s="42" t="inlineStr">
        <is>
          <t>Salidas escritas en varios lugares y literales sin parametrizar.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A2-7551</t>
        </is>
      </c>
      <c r="B8" s="39" t="inlineStr">
        <is>
          <t>Compila. Pasa los 25 pasos del harness.</t>
        </is>
      </c>
      <c r="C8" s="40" t="n">
        <v>3</v>
      </c>
      <c r="D8" s="41" t="n">
        <v>2</v>
      </c>
      <c r="E8" s="41" t="n">
        <v>1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Compila con TON estándar; omite ';' tras END_IF/END_CASE (tolerado por CODESYS).</t>
        </is>
      </c>
      <c r="J8" s="42" t="inlineStr">
        <is>
          <t>El temporizador de mezcla nunca se reinicia, de modo que un segundo lote omitiría la mezcla; recetaEnCurso duplica el estado.</t>
        </is>
      </c>
      <c r="K8" s="42" t="inlineStr">
        <is>
          <t>Fases comentadas y nombres descriptivos.</t>
        </is>
      </c>
      <c r="L8" s="42" t="inlineStr">
        <is>
          <t>Tiempo de mezcla declarado como variable; resto localizado.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A2-3687</t>
        </is>
      </c>
      <c r="B9" s="39" t="inlineStr">
        <is>
          <t>No compila (12 errores).</t>
        </is>
      </c>
      <c r="C9" s="40" t="n">
        <v>0</v>
      </c>
      <c r="D9" s="40" t="n">
        <v>0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39" t="inlineStr"/>
      <c r="J9" s="42" t="inlineStr">
        <is>
          <t>TP en lugar de TON hace que la fase 4 termine de inmediato; el temporizador nunca se reinicia.</t>
        </is>
      </c>
      <c r="K9" s="42" t="inlineStr">
        <is>
          <t>Fases sin comentarios descriptivos; estructura básica.</t>
        </is>
      </c>
      <c r="L9" s="42" t="inlineStr">
        <is>
          <t>Salidas repetidas en varios bloques y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A2-2878</t>
        </is>
      </c>
      <c r="B10" s="39" t="inlineStr">
        <is>
          <t>Compila. Falla 5 de 25 pasos del harness (pasos 8,9,10,11,12;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Falla la fase de mezcla (caso nominal, pasos 8-12): el TON se llama una sola vez y nunca avanza; declaraciones y tipos correctos.</t>
        </is>
      </c>
      <c r="J10" s="42" t="inlineStr">
        <is>
          <t>La fase 4 queda muerta porque el temporizador no se ejecuta cíclicamente; el abort va siempre a descarga sin mirar nivelVacio.</t>
        </is>
      </c>
      <c r="K10" s="42" t="inlineStr">
        <is>
          <t>Comentarios por fase y nombres claros.</t>
        </is>
      </c>
      <c r="L10" s="42" t="inlineStr">
        <is>
          <t>Literales y salidas forzadas en varios puntos.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A2-1185</t>
        </is>
      </c>
      <c r="B11" s="39" t="inlineStr">
        <is>
          <t>Compila. Pasa los 25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Compila sin cambios; TON bien instanciado y reiniciado, CASE idiomático con flancos manuales.</t>
        </is>
      </c>
      <c r="J11" s="42" t="inlineStr">
        <is>
          <t>Flancos, reinicio del temporizador en cada fase y salidas explícitas por fase; comportamiento seguro.</t>
        </is>
      </c>
      <c r="K11" s="42" t="inlineStr">
        <is>
          <t>Secciones bien comentadas, pero el bloque de abort se repite en cada fase.</t>
        </is>
      </c>
      <c r="L11" s="42" t="inlineStr">
        <is>
          <t>Lógica de abort duplicada cinco veces y asignación de salidas repetida por fase.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A2-7260</t>
        </is>
      </c>
      <c r="B12" s="39" t="inlineStr">
        <is>
          <t>No compila (4 errores).</t>
        </is>
      </c>
      <c r="C12" s="40" t="n">
        <v>0</v>
      </c>
      <c r="D12" s="40" t="n">
        <v>0</v>
      </c>
      <c r="E12" s="41" t="n">
        <v>1</v>
      </c>
      <c r="F12" s="41" t="n">
        <v>1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Mezcla estado y fase en variables paralelas, abort por nivel y temporizador nunca reiniciado.</t>
        </is>
      </c>
      <c r="K12" s="42" t="inlineStr">
        <is>
          <t>Métodos con valores de retorno sin sentido y casi sin comentarios.</t>
        </is>
      </c>
      <c r="L12" s="42" t="inlineStr">
        <is>
          <t>Asignación de las cinco salidas repetida en cada estado.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A2-5299</t>
        </is>
      </c>
      <c r="B13" s="39" t="inlineStr">
        <is>
          <t>Compila. Falla 2 de 25 pasos del harness (pasos 8,9; numerados desde 0).</t>
        </is>
      </c>
      <c r="C13" s="41" t="n">
        <v>0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Falla la fase de mezcla en el caso nominal (pasos 8-9) por usar TP; compila con tipos correctos.</t>
        </is>
      </c>
      <c r="J13" s="42" t="inlineStr">
        <is>
          <t>TP termina la mezcla en el primer ciclo y nunca se reinicia: la fase 4 es efectivamente inexistente.</t>
        </is>
      </c>
      <c r="K13" s="42" t="inlineStr">
        <is>
          <t>Fases sin comentarios y flags de flanco poco explicados.</t>
        </is>
      </c>
      <c r="L13" s="42" t="inlineStr">
        <is>
          <t>Literales y salidas forzadas en varios sitios.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A2-3859</t>
        </is>
      </c>
      <c r="B14" s="39" t="inlineStr">
        <is>
          <t>Compila. Pasa los 25 pasos del harness.</t>
        </is>
      </c>
      <c r="C14" s="40" t="n">
        <v>3</v>
      </c>
      <c r="D14" s="41" t="n">
        <v>3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Compila sin cambios; TON instanciado y reiniciado fuera de fase 4, CASE con ELSE.</t>
        </is>
      </c>
      <c r="J14" s="42" t="inlineStr">
        <is>
          <t>Lógica correcta con rama ELSE segura, pero el arranque es por nivel (un botón mantenido relanza la receta).</t>
        </is>
      </c>
      <c r="K14" s="42" t="inlineStr">
        <is>
          <t>Secciones con comentarios útiles; asignación de salidas dispersa por fase.</t>
        </is>
      </c>
      <c r="L14" s="42" t="inlineStr">
        <is>
          <t>Asignación de salidas repetida en cada fase y T#120S duplicado.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A2-7745</t>
        </is>
      </c>
      <c r="B15" s="39" t="inlineStr">
        <is>
          <t>No compila (2 errores).</t>
        </is>
      </c>
      <c r="C15" s="40" t="n">
        <v>0</v>
      </c>
      <c r="D15" s="40" t="n">
        <v>0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39" t="inlineStr"/>
      <c r="J15" s="42" t="inlineStr">
        <is>
          <t>Flancos, temporizador reiniciado al entrar y salir de mezcla y ELSE seguro; abortActivo redundante pero sin efecto.</t>
        </is>
      </c>
      <c r="K15" s="42" t="inlineStr">
        <is>
          <t>Bien comentado por fases, salidas mezcladas con la lógica.</t>
        </is>
      </c>
      <c r="L15" s="42" t="inlineStr">
        <is>
          <t>T#120S repetido tres veces y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A2-4520</t>
        </is>
      </c>
      <c r="B16" s="39" t="inlineStr">
        <is>
          <t>Compila. Falla 10 de 25 pasos del harness (pasos 8,9,17,18,19,20,21,22,23,24; numerados desde 0).</t>
        </is>
      </c>
      <c r="C16" s="41" t="n">
        <v>0</v>
      </c>
      <c r="D16" s="41" t="n">
        <v>2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Falla el caso nominal (mezcla) y la secuencia de abort (pasos 8-9 y 17-24); declaraciones y tipos correctos.</t>
        </is>
      </c>
      <c r="J16" s="42" t="inlineStr">
        <is>
          <t>Condición invertida en fase 4 y temporizador llamado una sola vez: la mezcla nunca ocurre; abort va a descarga aunque esté vacío.</t>
        </is>
      </c>
      <c r="K16" s="42" t="inlineStr">
        <is>
          <t>Comentarios por fase y nombres claros.</t>
        </is>
      </c>
      <c r="L16" s="42" t="inlineStr">
        <is>
          <t>Literales y salidas repetidas.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A2-5579</t>
        </is>
      </c>
      <c r="B17" s="39" t="inlineStr">
        <is>
          <t>No compila (4 errores).</t>
        </is>
      </c>
      <c r="C17" s="40" t="n">
        <v>0</v>
      </c>
      <c r="D17" s="40" t="n">
        <v>0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El cuerpo del FB nunca llama a Execute, por lo que nada opera; además el abort actúa en reposo.</t>
        </is>
      </c>
      <c r="K17" s="42" t="inlineStr">
        <is>
          <t>Métodos sin invocar y comentarios escasos.</t>
        </is>
      </c>
      <c r="L17" s="42" t="inlineStr">
        <is>
          <t>Literales y salidas repetidas por estado.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A2-5565</t>
        </is>
      </c>
      <c r="B18" s="39" t="inlineStr">
        <is>
          <t>No compila (25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TON se llama una sola vez por la bandera timerMezcladorActive, así que la mezcla nunca termina; Execute no se invoca.</t>
        </is>
      </c>
      <c r="K18" s="42" t="inlineStr">
        <is>
          <t>Métodos con retornos sin sentido; comentarios mínimos.</t>
        </is>
      </c>
      <c r="L18" s="42" t="inlineStr">
        <is>
          <t>Salidas repetidas en cada estado y método Reset sin uso.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A2-8269</t>
        </is>
      </c>
      <c r="B19" s="39" t="inlineStr">
        <is>
          <t>Compila. Pasa los 25 pasos del harness.</t>
        </is>
      </c>
      <c r="C19" s="40" t="n">
        <v>3</v>
      </c>
      <c r="D19" s="41" t="n">
        <v>3</v>
      </c>
      <c r="E19" s="41" t="n">
        <v>2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Compila sin cambios; TON gobernado por (fase = 4) y salidas booleanas idiomáticas.</t>
        </is>
      </c>
      <c r="J19" s="42" t="inlineStr">
        <is>
          <t>Sin contradicciones; arranque y abort por nivel, de modo que un botón mantenido relanza la receta.</t>
        </is>
      </c>
      <c r="K19" s="42" t="inlineStr">
        <is>
          <t>Secciones separadas lógica/temporizador/salidas con comentarios que explican el porqué.</t>
        </is>
      </c>
      <c r="L19" s="42" t="inlineStr">
        <is>
          <t>Salidas definidas una sola vez; literales 60.0 y T#120S.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A2-8208</t>
        </is>
      </c>
      <c r="B20" s="39" t="inlineStr">
        <is>
          <t>Compila. Pasa los 25 pasos del harness.</t>
        </is>
      </c>
      <c r="C20" s="40" t="n">
        <v>3</v>
      </c>
      <c r="D20" s="41" t="n">
        <v>3</v>
      </c>
      <c r="E20" s="41" t="n">
        <v>2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Compila sin cambios; TON reiniciado explícitamente y CASE con ELSE seguro.</t>
        </is>
      </c>
      <c r="J20" s="42" t="inlineStr">
        <is>
          <t>Lógica correcta con estado por defecto seguro; arranque por nivel.</t>
        </is>
      </c>
      <c r="K20" s="42" t="inlineStr">
        <is>
          <t>Comentarios útiles; salidas mezcladas en cada fase.</t>
        </is>
      </c>
      <c r="L20" s="42" t="inlineStr">
        <is>
          <t>Asignación de las cinco salidas repetida por fase; T#120S triplicado.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A2-3851</t>
        </is>
      </c>
      <c r="B21" s="39" t="inlineStr">
        <is>
          <t>Compila. Pasa los 25 pasos del harness.</t>
        </is>
      </c>
      <c r="C21" s="40" t="n">
        <v>3</v>
      </c>
      <c r="D21" s="41" t="n">
        <v>2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Compila con TON estándar; omite ';' tras END_IF/END_CASE (tolerado por CODESYS).</t>
        </is>
      </c>
      <c r="J21" s="42" t="inlineStr">
        <is>
          <t>El temporizador nunca se reinicia, lo que haría saltar la mezcla en un segundo lote; recetaEnCurso redundante.</t>
        </is>
      </c>
      <c r="K21" s="42" t="inlineStr">
        <is>
          <t>Fases comentadas y nombres claros.</t>
        </is>
      </c>
      <c r="L21" s="42" t="inlineStr">
        <is>
          <t>Salidas repetidas y literales sin parametrizar.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A2-2820</t>
        </is>
      </c>
      <c r="B22" s="39" t="inlineStr">
        <is>
          <t>No compila (2 errores).</t>
        </is>
      </c>
      <c r="C22" s="40" t="n">
        <v>0</v>
      </c>
      <c r="D22" s="40" t="n">
        <v>0</v>
      </c>
      <c r="E22" s="41" t="n">
        <v>2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Lógica completa con reinicio del temporizador y estado por defecto seguro; arranque por nivel.</t>
        </is>
      </c>
      <c r="K22" s="42" t="inlineStr">
        <is>
          <t>Secciones con buenos comentarios, salidas mezcladas con la lógica.</t>
        </is>
      </c>
      <c r="L22" s="42" t="inlineStr">
        <is>
          <t>Asignación de salidas repetida en cada fase.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A2-4087</t>
        </is>
      </c>
      <c r="B23" s="39" t="inlineStr">
        <is>
          <t>Compila. Pasa los 25 pasos del harness.</t>
        </is>
      </c>
      <c r="C23" s="40" t="n">
        <v>3</v>
      </c>
      <c r="D23" s="41" t="n">
        <v>3</v>
      </c>
      <c r="E23" s="41" t="n">
        <v>2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sin cambios; TON gobernado por la fase, CASE con ELSE y salidas idiomáticas.</t>
        </is>
      </c>
      <c r="J23" s="42" t="inlineStr">
        <is>
          <t>Sin contradicciones y con estado seguro por defecto; arranque y abort por nivel.</t>
        </is>
      </c>
      <c r="K23" s="42" t="inlineStr">
        <is>
          <t>Separa temporizador, abort, estados y salidas con comentarios que justifican el diseño.</t>
        </is>
      </c>
      <c r="L23" s="42" t="inlineStr">
        <is>
          <t>Salidas definidas una sola vez; literales 60.0 y T#120S.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A2-5337</t>
        </is>
      </c>
      <c r="B24" s="39" t="inlineStr">
        <is>
          <t>Compila. Pasa los 25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Compila sin cambios; R_TRIG y TON bien instanciados, CASE idiomático.</t>
        </is>
      </c>
      <c r="J24" s="42" t="inlineStr">
        <is>
          <t>Flancos en arranque y abort, temporizador reiniciado y salidas derivadas de la fase.</t>
        </is>
      </c>
      <c r="K24" s="42" t="inlineStr">
        <is>
          <t>Separación clara entre flancos, abort, máquina de estados y salidas.</t>
        </is>
      </c>
      <c r="L24" s="42" t="inlineStr">
        <is>
          <t>Salidas definidas una vez; literales sin constantes.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A2-4573</t>
        </is>
      </c>
      <c r="B25" s="39" t="inlineStr">
        <is>
          <t>No compila (1 errores).</t>
        </is>
      </c>
      <c r="C25" s="40" t="n">
        <v>0</v>
      </c>
      <c r="D25" s="40" t="n">
        <v>0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TP en lugar de TON termina la mezcla de inmediato y no se reinicia; rango CASE solapado.</t>
        </is>
      </c>
      <c r="K25" s="42" t="inlineStr">
        <is>
          <t>Comentarios por fase en bloques IF secuenciales.</t>
        </is>
      </c>
      <c r="L25" s="42" t="inlineStr">
        <is>
          <t>Literales y salidas forzadas en varios sitios.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A2-2424</t>
        </is>
      </c>
      <c r="B26" s="39" t="inlineStr">
        <is>
          <t>Compila. Pasa los 25 pasos del harness.</t>
        </is>
      </c>
      <c r="C26" s="40" t="n">
        <v>3</v>
      </c>
      <c r="D26" s="41" t="n">
        <v>3</v>
      </c>
      <c r="E26" s="41" t="n">
        <v>2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Compila sin cambios; TON gobernado por la fase, CASE con ELSE.</t>
        </is>
      </c>
      <c r="J26" s="42" t="inlineStr">
        <is>
          <t>Correcta y con estado por defecto seguro; arranque y abort por nivel.</t>
        </is>
      </c>
      <c r="K26" s="42" t="inlineStr">
        <is>
          <t>Secciones separadas con salidas derivadas de la fase y comentarios útiles.</t>
        </is>
      </c>
      <c r="L26" s="42" t="inlineStr">
        <is>
          <t>Salidas definidas una sola vez; literales.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A2-8499</t>
        </is>
      </c>
      <c r="B27" s="39" t="inlineStr">
        <is>
          <t>Compila. Pasa los 25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Compila sin cambios; TON y CASE idiomáticos con flancos manuales.</t>
        </is>
      </c>
      <c r="J27" s="42" t="inlineStr">
        <is>
          <t>Flancos, reinicio de temporizador y salidas condicionadas por abort; sin estados inalcanzables.</t>
        </is>
      </c>
      <c r="K27" s="42" t="inlineStr">
        <is>
          <t>Bien comentado y con salidas separadas, pero el abort se repite en cada fase.</t>
        </is>
      </c>
      <c r="L27" s="42" t="inlineStr">
        <is>
          <t>Lógica de abort duplicada en cuatro fases.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A2-5655</t>
        </is>
      </c>
      <c r="B28" s="39" t="inlineStr">
        <is>
          <t>Compila. Falla 9 de 25 pasos del harness (pasos 1,2,3,4,5,6,7,8,9; numerados desde 0).</t>
        </is>
      </c>
      <c r="C28" s="41" t="n">
        <v>1</v>
      </c>
      <c r="D28" s="41" t="n">
        <v>2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 en la receta nominal pero el abort en reposo dispara la descarga (pasos 1-9); compila con tipos correctos.</t>
        </is>
      </c>
      <c r="J28" s="42" t="inlineStr">
        <is>
          <t>El abort no se restringe a fases 1-5 y el temporizador nunca se reinicia; reinicio de flags previos redundante.</t>
        </is>
      </c>
      <c r="K28" s="42" t="inlineStr">
        <is>
          <t>Fases comentadas y nombres claros.</t>
        </is>
      </c>
      <c r="L28" s="42" t="inlineStr">
        <is>
          <t>Salidas repetidas y literales sin parametrizar.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A2-2376</t>
        </is>
      </c>
      <c r="B29" s="39" t="inlineStr">
        <is>
          <t>Compila. Pasa los 25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Compila sin cambios; R_TRIG y TON bien instanciados, CASE idiomático.</t>
        </is>
      </c>
      <c r="J29" s="42" t="inlineStr">
        <is>
          <t>Flancos, temporizador reiniciado y salidas derivadas de la fase: robusta.</t>
        </is>
      </c>
      <c r="K29" s="42" t="inlineStr">
        <is>
          <t>Secciones claras pero sin comentarios en la declaración de variables.</t>
        </is>
      </c>
      <c r="L29" s="42" t="inlineStr">
        <is>
          <t>Salidas definidas una sola vez; literales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10 C13 C1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1 D13:D14 D16 D19:D21 D23:D24 D2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A3 — Protocolo de comunicación con reintentos (Avanzado)</t>
        </is>
      </c>
    </row>
    <row r="2" ht="15" customHeight="1" s="22">
      <c r="A2" s="33" t="inlineStr">
        <is>
          <t>Lee cada respuesta por su código en respuestas/Respuestas_A3.html.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A3-3230</t>
        </is>
      </c>
      <c r="B6" s="39" t="inlineStr">
        <is>
          <t>Compila. Pasa los 15 pasos del harness.</t>
        </is>
      </c>
      <c r="C6" s="40" t="n">
        <v>3</v>
      </c>
      <c r="D6" s="41" t="n">
        <v>3</v>
      </c>
      <c r="E6" s="41" t="n">
        <v>2</v>
      </c>
      <c r="F6" s="41" t="n">
        <v>3</v>
      </c>
      <c r="G6" s="41" t="n">
        <v>1</v>
      </c>
      <c r="H6" s="40">
        <f>IF(COUNT(C6:G6)=5,SUM(C6:G6),"")</f>
        <v/>
      </c>
      <c r="I6" s="42" t="inlineStr">
        <is>
          <t>Compila sin cambios; TON y T#500MS bien usados, POU adecuado y flanco explícito: idiomático.</t>
        </is>
      </c>
      <c r="J6" s="42" t="inlineStr">
        <is>
          <t>Coherente y completa, pero evalúa rxOk por nivel: un rxOk sostenido con dato erróneo consumiría intentos en scans consecutivos.</t>
        </is>
      </c>
      <c r="K6" s="42" t="inlineStr">
        <is>
          <t>Nombres claros, secciones y comentarios que explican el porqué del reinicio del TON.</t>
        </is>
      </c>
      <c r="L6" s="42" t="inlineStr">
        <is>
          <t>Solo el valor de prueba está declarado; 3 y T#500MS como literales repetidos.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A3-6022</t>
        </is>
      </c>
      <c r="B7" s="39" t="inlineStr">
        <is>
          <t>Compila. Pasa los 15 pasos del harness.</t>
        </is>
      </c>
      <c r="C7" s="40" t="n">
        <v>3</v>
      </c>
      <c r="D7" s="41" t="n">
        <v>3</v>
      </c>
      <c r="E7" s="41" t="n">
        <v>2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Compila sin cambios; TON correctamente instanciado y TIME correcto; llamadas múltiples al TON válidas.</t>
        </is>
      </c>
      <c r="J7" s="42" t="inlineStr">
        <is>
          <t>Lógica completa; rxOk por nivel deja expuesto el consumo de intentos con dato erróneo sostenido; llamada final al TON redundante.</t>
        </is>
      </c>
      <c r="K7" s="42" t="inlineStr">
        <is>
          <t>Bien seccionado, nombres descriptivos y comentarios que explican el reinicio del TON.</t>
        </is>
      </c>
      <c r="L7" s="42" t="inlineStr">
        <is>
          <t>TEST_VALUE y MAX_INTENTOS declarados; T#500MS repetido en varias llamadas.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A3-6512</t>
        </is>
      </c>
      <c r="B8" s="39" t="inlineStr">
        <is>
          <t>Compila. Falla 4 de 15 pasos del harness (pasos 3,4,5,9; numerados desde 0).</t>
        </is>
      </c>
      <c r="C8" s="41" t="n">
        <v>1</v>
      </c>
      <c r="D8" s="41" t="n">
        <v>3</v>
      </c>
      <c r="E8" s="41" t="n">
        <v>0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pasos 3,4,5,9: el caso nominal (eco en intento 1) funciona, pero el reintento por plazo vencido no reinicia el TON y quema intentos; usa R_TRIG/TON estándar.</t>
        </is>
      </c>
      <c r="J8" s="42" t="inlineStr">
        <is>
          <t>resetTemp se pone a FALSE antes de llamar al TON en el scan siguiente, así el temporizador nunca se reinicia: contradicción con efecto grave.</t>
        </is>
      </c>
      <c r="K8" s="42" t="inlineStr">
        <is>
          <t>Nombres y comentarios adecuados, estructura ordenada.</t>
        </is>
      </c>
      <c r="L8" s="42" t="inlineStr">
        <is>
          <t>Literales 100, 3 (duplicado) y T#500MS sin parametrizar.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A3-7512</t>
        </is>
      </c>
      <c r="B9" s="39" t="inlineStr">
        <is>
          <t>Compila sola, pero no se pudo simular: declara las entradas donde el harness no puede escribirlas ('txReq' no es ninguna entrada de 'FB_COM').</t>
        </is>
      </c>
      <c r="C9" s="41" t="n">
        <v>0</v>
      </c>
      <c r="D9" s="41" t="n">
        <v>1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42" t="inlineStr">
        <is>
          <t>No simulable; leyendo el código, ok/error se borran en el scan siguiente y el TON nunca se reinicia, falla el nominal; entradas/salidas declaradas en VAR (interfaz no conforme).</t>
        </is>
      </c>
      <c r="J9" s="42" t="inlineStr">
        <is>
          <t>ok y error se borran cada scan en reposo y el TON con IN siempre TRUE no se reinicia: contradicciones con efecto.</t>
        </is>
      </c>
      <c r="K9" s="42" t="inlineStr">
        <is>
          <t>Comentarios presentes pero incorrectos (rotula 'Entradas'/'Salidas' dentro de VAR); variable intentoExitoso sin uso.</t>
        </is>
      </c>
      <c r="L9" s="42" t="inlineStr">
        <is>
          <t>Valores 100, 3 y 500 ms como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A3-3622</t>
        </is>
      </c>
      <c r="B10" s="39" t="inlineStr">
        <is>
          <t>Compila. Falla 4 de 15 pasos del harness (pasos 3,4,5,9; numerados desde 0).</t>
        </is>
      </c>
      <c r="C10" s="41" t="n">
        <v>1</v>
      </c>
      <c r="D10" s="41" t="n">
        <v>3</v>
      </c>
      <c r="E10" s="41" t="n">
        <v>0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Falla pasos 3,4,5,9: nominal correcto, pero timerRun pasa a FALSE y TRUE en el mismo scan y el TON no se reinicia, por lo que los reintentos fallan; TON estándar bien declarado.</t>
        </is>
      </c>
      <c r="J10" s="42" t="inlineStr">
        <is>
          <t>El 'reset' del TON es inefectivo (FALSE y TRUE en el mismo scan): condición contradictoria con efecto grave en los reintentos.</t>
        </is>
      </c>
      <c r="K10" s="42" t="inlineStr">
        <is>
          <t>Bien seccionado y comentado, aunque el comentario de reset del TON no se cumple.</t>
        </is>
      </c>
      <c r="L10" s="42" t="inlineStr">
        <is>
          <t>TEST_VALUE y MAX_INT declarados; PT en una sola llamada.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A3-3184</t>
        </is>
      </c>
      <c r="B11" s="39" t="inlineStr">
        <is>
          <t>Compila. Pasa los 15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Compila sin cambios; R_TRIG y TON estándar bien instanciados: idiomático.</t>
        </is>
      </c>
      <c r="J11" s="42" t="inlineStr">
        <is>
          <t>Robusta: flanco en rxOk, reinicio del TON por intento, ignora txReq en curso.</t>
        </is>
      </c>
      <c r="K11" s="42" t="inlineStr">
        <is>
          <t>Nombres y comentarios útiles, secciones claras.</t>
        </is>
      </c>
      <c r="L11" s="42" t="inlineStr">
        <is>
          <t>100, 3 y T#500MS como literales repetidos.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A3-4953</t>
        </is>
      </c>
      <c r="B12" s="39" t="inlineStr">
        <is>
          <t>Compila. Pasa los 15 pasos del harness.</t>
        </is>
      </c>
      <c r="C12" s="40" t="n">
        <v>3</v>
      </c>
      <c r="D12" s="41" t="n">
        <v>3</v>
      </c>
      <c r="E12" s="41" t="n">
        <v>2</v>
      </c>
      <c r="F12" s="41" t="n">
        <v>3</v>
      </c>
      <c r="G12" s="41" t="n">
        <v>1</v>
      </c>
      <c r="H12" s="40">
        <f>IF(COUNT(C12:G12)=5,SUM(C12:G12),"")</f>
        <v/>
      </c>
      <c r="I12" s="42" t="inlineStr">
        <is>
          <t>Compila sin cambios; R_TRIG y TON estándar; uso correcto de TIME.</t>
        </is>
      </c>
      <c r="J12" s="42" t="inlineStr">
        <is>
          <t>Coherente con flanco en rxOk, pero en el scan de reinicio (timerIn FALSE) un pulso de rxOk se descarta.</t>
        </is>
      </c>
      <c r="K12" s="42" t="inlineStr">
        <is>
          <t>Comentarios explican el porqué del ciclo en FALSE para reiniciar el TON; estructura clara.</t>
        </is>
      </c>
      <c r="L12" s="42" t="inlineStr">
        <is>
          <t>Sin constantes declaradas: 100, 3 y T#500MS literales.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A3-3351</t>
        </is>
      </c>
      <c r="B13" s="39" t="inlineStr">
        <is>
          <t>Compila. Falla 12 de 15 pasos del harness (pasos 3,4,5,6,7,8,9,10,11,12,13,14;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12 de 15 pasos, incluido el eco en el intento 1 (paso 14): falla el nominal; compila pero el TON no se llama cíclicamente.</t>
        </is>
      </c>
      <c r="J13" s="42" t="inlineStr">
        <is>
          <t>El TON solo se ejecuta al arrancar/reintentar, por lo que su Q no evoluciona y el plazo nunca vence; eco erróneo no tratado.</t>
        </is>
      </c>
      <c r="K13" s="42" t="inlineStr">
        <is>
          <t>Nombres descriptivos y comentarios útiles.</t>
        </is>
      </c>
      <c r="L13" s="42" t="inlineStr">
        <is>
          <t>valorPrueba declarado; 3 y T#500MS literales.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A3-5168</t>
        </is>
      </c>
      <c r="B14" s="39" t="inlineStr">
        <is>
          <t>Compila sola, pero no se pudo simular: declara las entradas donde el harness no puede escribirlas ('txReq' no es ninguna entrada de 'FB_COM').</t>
        </is>
      </c>
      <c r="C14" s="41" t="n">
        <v>1</v>
      </c>
      <c r="D14" s="41" t="n">
        <v>1</v>
      </c>
      <c r="E14" s="41" t="n">
        <v>1</v>
      </c>
      <c r="F14" s="41" t="n">
        <v>1</v>
      </c>
      <c r="G14" s="41" t="n">
        <v>2</v>
      </c>
      <c r="H14" s="40">
        <f>IF(COUNT(C14:G14)=5,SUM(C14:G14),"")</f>
        <v/>
      </c>
      <c r="I14" s="42" t="inlineStr">
        <is>
          <t>No simulable; leyendo el código funciona el nominal con flanco, pero rxOk con dato distinto no hace fallar el intento; usa TIME() (extensión CODESYS) e interfaz en VAR.</t>
        </is>
      </c>
      <c r="J14" s="42" t="inlineStr">
        <is>
          <t>Mayormente coherente, pero ignora el eco erróneo y declara intentoExitoso sin uso.</t>
        </is>
      </c>
      <c r="K14" s="42" t="inlineStr">
        <is>
          <t>Comentarios 'Entradas'/'Salidas' incorrectos dentro de VAR; resto legible.</t>
        </is>
      </c>
      <c r="L14" s="42" t="inlineStr">
        <is>
          <t>VAR CONSTANT para valor, plazo y máximo de intentos.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A3-6493</t>
        </is>
      </c>
      <c r="B15" s="39" t="inlineStr">
        <is>
          <t>Compila. Pasa los 15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sin cambios; R_TRIG y TON estándar con reinicio por pulso: idiomático.</t>
        </is>
      </c>
      <c r="J15" s="42" t="inlineStr">
        <is>
          <t>Robusta: flanco en rxOk, reinicio limpio del TON por intento, sin estados muertos.</t>
        </is>
      </c>
      <c r="K15" s="42" t="inlineStr">
        <is>
          <t>Nombres y comentarios útiles, orden lógico.</t>
        </is>
      </c>
      <c r="L15" s="42" t="inlineStr">
        <is>
          <t>100, 3 y T#500MS como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A3-4439</t>
        </is>
      </c>
      <c r="B16" s="39" t="inlineStr">
        <is>
          <t>Compila. Pasa los 15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Compila sin cambios; TON bien instanciado, detección de flancos explícita correcta.</t>
        </is>
      </c>
      <c r="J16" s="42" t="inlineStr">
        <is>
          <t>Robusta: flanco en rxOk, verifica plazo no vencido en el éxito, reinicios completos.</t>
        </is>
      </c>
      <c r="K16" s="42" t="inlineStr">
        <is>
          <t>Secciones y casos comentados con claridad.</t>
        </is>
      </c>
      <c r="L16" s="42" t="inlineStr">
        <is>
          <t>TX_VALUE y MAX_INT declarados; T#500MS repetido.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A3-9003</t>
        </is>
      </c>
      <c r="B17" s="39" t="inlineStr">
        <is>
          <t>Compila. Falla 4 de 15 pasos del harness (pasos 7,8,9,10; numerados desde 0).</t>
        </is>
      </c>
      <c r="C17" s="41" t="n">
        <v>1</v>
      </c>
      <c r="D17" s="41" t="n">
        <v>2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Falla pasos 7-10: nominal correcto pero el eco erróneo no hace fallar el intento; TON autorreiniciado con IN := NOT Q, poco idiomático.</t>
        </is>
      </c>
      <c r="J17" s="42" t="inlineStr">
        <is>
          <t>Falta la rama de eco erróneo y usa un temporizador autorrecargable; rxOk por nivel.</t>
        </is>
      </c>
      <c r="K17" s="42" t="inlineStr">
        <is>
          <t>Nombres claros, aunque algún comentario es impreciso ('Inicializacion de variables').</t>
        </is>
      </c>
      <c r="L17" s="42" t="inlineStr">
        <is>
          <t>100, 3 y T#500MS literales.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A3-4115</t>
        </is>
      </c>
      <c r="B18" s="39" t="inlineStr">
        <is>
          <t>Compila. Falla 10 de 15 pasos del harness (pasos 3,4,5,6,7,8,10,12,13,14; numerados desde 0).</t>
        </is>
      </c>
      <c r="C18" s="41" t="n">
        <v>0</v>
      </c>
      <c r="D18" s="41" t="n">
        <v>2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42" t="inlineStr">
        <is>
          <t>Falla 10 de 15 pasos, incluido el eco en intento 1: falla el nominal; TON no se llama cíclicamente y el arranque es por nivel.</t>
        </is>
      </c>
      <c r="J18" s="42" t="inlineStr">
        <is>
          <t>TON nunca evoluciona, arranque por nivel de txReq y bloques de estado vacíos (código muerto).</t>
        </is>
      </c>
      <c r="K18" s="42" t="inlineStr">
        <is>
          <t>Bloques IF vacíos y comentarios que describen acciones no realizadas.</t>
        </is>
      </c>
      <c r="L18" s="42" t="inlineStr">
        <is>
          <t>100, 3 y T#500MS literales.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A3-8801</t>
        </is>
      </c>
      <c r="B19" s="39" t="inlineStr">
        <is>
          <t>Compila. Falla 9 de 15 pasos del harness (pasos 3,4,5,7,8,9,10,11,14; numerados desde 0).</t>
        </is>
      </c>
      <c r="C19" s="41" t="n">
        <v>0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Falla 9 de 15 pasos incluido el nominal: el TON se fuerza a FALSE cada scan y ok/error se borran al volver a estado 0.</t>
        </is>
      </c>
      <c r="J19" s="42" t="inlineStr">
        <is>
          <t>Contradicciones con efecto: TON reseteado cada scan y salidas ok/error borradas inmediatamente.</t>
        </is>
      </c>
      <c r="K19" s="42" t="inlineStr">
        <is>
          <t>Comentario 'Mantener ok y error activos' contradice el código.</t>
        </is>
      </c>
      <c r="L19" s="42" t="inlineStr">
        <is>
          <t>100, 3 y T#500MS literales.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A3-7866</t>
        </is>
      </c>
      <c r="B20" s="39" t="inlineStr">
        <is>
          <t>Compila. Falla 9 de 15 pasos del harness (pasos 3,4,5,7,8,9,10,11,14; numerados desde 0).</t>
        </is>
      </c>
      <c r="C20" s="41" t="n">
        <v>0</v>
      </c>
      <c r="D20" s="41" t="n">
        <v>2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Falla 9 de 15 pasos incluido el nominal: TON forzado a FALSE cada scan y ok/error borrados en estado 0; arranque por nivel.</t>
        </is>
      </c>
      <c r="J20" s="42" t="inlineStr">
        <is>
          <t>Igual contradicción del TON y borrado de ok/error; estado 2 declarado y muerto.</t>
        </is>
      </c>
      <c r="K20" s="42" t="inlineStr">
        <is>
          <t>Comentarios engañosos y estado 2 sin uso 'por claridad'.</t>
        </is>
      </c>
      <c r="L20" s="42" t="inlineStr">
        <is>
          <t>100, 3 y T#500MS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A3-1699</t>
        </is>
      </c>
      <c r="B21" s="39" t="inlineStr">
        <is>
          <t>Compila. Pasa los 15 pasos del harness.</t>
        </is>
      </c>
      <c r="C21" s="40" t="n">
        <v>3</v>
      </c>
      <c r="D21" s="41" t="n">
        <v>3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Compila sin cambios; TON y TIME correctos, reinicio por doble llamada válido.</t>
        </is>
      </c>
      <c r="J21" s="42" t="inlineStr">
        <is>
          <t>Coherente, pero rxOk por nivel; asignaciones redundantes de txData en cada reintento.</t>
        </is>
      </c>
      <c r="K21" s="42" t="inlineStr">
        <is>
          <t>Secciones y comentarios útiles.</t>
        </is>
      </c>
      <c r="L21" s="42" t="inlineStr">
        <is>
          <t>valorTx declarado; 3 y T#500MS repetidos.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A3-8606</t>
        </is>
      </c>
      <c r="B22" s="39" t="inlineStr">
        <is>
          <t>Compila. Pasa los 15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Compila sin cambios; R_TRIG, TON y CASE de estados: idiomático.</t>
        </is>
      </c>
      <c r="J22" s="42" t="inlineStr">
        <is>
          <t>Robusta: máquina de estados clara, flanco en rxOk y conservación de nIntentos=3.</t>
        </is>
      </c>
      <c r="K22" s="42" t="inlineStr">
        <is>
          <t>Comentarios en el código útiles, pero interfaz sin comentarios.</t>
        </is>
      </c>
      <c r="L22" s="42" t="inlineStr">
        <is>
          <t>100, 3 y T#500MS literales repetidos.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A3-8784</t>
        </is>
      </c>
      <c r="B23" s="39" t="inlineStr">
        <is>
          <t>Compila. Falla 14 de 15 pasos del harness (pasos 1,2,3,4,5,6,7,8,9,10,11,12,13,14; numerados desde 0).</t>
        </is>
      </c>
      <c r="C23" s="41" t="n">
        <v>0</v>
      </c>
      <c r="D23" s="41" t="n">
        <v>2</v>
      </c>
      <c r="E23" s="41" t="n">
        <v>0</v>
      </c>
      <c r="F23" s="41" t="n">
        <v>1</v>
      </c>
      <c r="G23" s="41" t="n">
        <v>1</v>
      </c>
      <c r="H23" s="40">
        <f>IF(COUNT(C23:G23)=5,SUM(C23:G23),"")</f>
        <v/>
      </c>
      <c r="I23" s="42" t="inlineStr">
        <is>
          <t>Falla 14 de 15 pasos: usa TP en lugar de TON y solo evalúa la respuesta cuando Q está activo; compila pero el FB elegido no es el adecuado.</t>
        </is>
      </c>
      <c r="J23" s="42" t="inlineStr">
        <is>
          <t>La respuesta se evalúa solo durante el pulso del TP, arranque por nivel y ok nunca se limpia hasta reinicio: lógica contradictoria.</t>
        </is>
      </c>
      <c r="K23" s="42" t="inlineStr">
        <is>
          <t>Comentarios de estados genéricos que no reflejan el flujo real.</t>
        </is>
      </c>
      <c r="L23" s="42" t="inlineStr">
        <is>
          <t>100, 3 y T#500MS literales.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A3-1381</t>
        </is>
      </c>
      <c r="B24" s="39" t="inlineStr">
        <is>
          <t>Compila. Falla 14 de 15 pasos del harness (pasos 1,2,3,4,5,6,7,8,9,10,11,12,13,14; numerados desde 0).</t>
        </is>
      </c>
      <c r="C24" s="41" t="n">
        <v>0</v>
      </c>
      <c r="D24" s="41" t="n">
        <v>2</v>
      </c>
      <c r="E24" s="41" t="n">
        <v>0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Falla 14 de 15 pasos: TP mal empleado como plazo y fallo inmediato en el primer pulso; compila.</t>
        </is>
      </c>
      <c r="J24" s="42" t="inlineStr">
        <is>
          <t>Ocupado se desactiva y reactiva entre estados, TP mal usado y arranque por nivel: contradicciones con efecto.</t>
        </is>
      </c>
      <c r="K24" s="42" t="inlineStr">
        <is>
          <t>Estructura de IF sueltos con pocos comentarios útiles.</t>
        </is>
      </c>
      <c r="L24" s="42" t="inlineStr">
        <is>
          <t>100, 3 y T#500MS literales.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A3-5401</t>
        </is>
      </c>
      <c r="B25" s="39" t="inlineStr">
        <is>
          <t>Compila sola, pero no se pudo simular: declara las entradas donde el harness no puede escribirlas ('txReq' no es ninguna entrada de 'FB_COM').</t>
        </is>
      </c>
      <c r="C25" s="41" t="n">
        <v>0</v>
      </c>
      <c r="D25" s="41" t="n">
        <v>1</v>
      </c>
      <c r="E25" s="41" t="n">
        <v>0</v>
      </c>
      <c r="F25" s="41" t="n">
        <v>1</v>
      </c>
      <c r="G25" s="41" t="n">
        <v>1</v>
      </c>
      <c r="H25" s="40">
        <f>IF(COUNT(C25:G25)=5,SUM(C25:G25),"")</f>
        <v/>
      </c>
      <c r="I25" s="42" t="inlineStr">
        <is>
          <t>No simulable; arranca por nivel de txReq (reinicia y borra ok si sigue alto) e ignora el eco erróneo; usa TIME() (extensión) e interfaz en VAR.</t>
        </is>
      </c>
      <c r="J25" s="42" t="inlineStr">
        <is>
          <t>Reinicio por nivel tras terminar borra el resultado; esperandoRespuesta redundante.</t>
        </is>
      </c>
      <c r="K25" s="42" t="inlineStr">
        <is>
          <t>Comentarios 'Entradas'/'Salidas' incorrectos dentro de VAR.</t>
        </is>
      </c>
      <c r="L25" s="42" t="inlineStr">
        <is>
          <t>valorPrueba declarado; 3 y T#500MS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A3-7343</t>
        </is>
      </c>
      <c r="B26" s="39" t="inlineStr">
        <is>
          <t>Compila. Pasa los 15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sin cambios; R_TRIG y TON estándar bien instanciados.</t>
        </is>
      </c>
      <c r="J26" s="42" t="inlineStr">
        <is>
          <t>Robusta: flanco en rxOk, TON detenido fuera de intercambio y reiniciado por intento.</t>
        </is>
      </c>
      <c r="K26" s="42" t="inlineStr">
        <is>
          <t>Comentarios útiles en el código, interfaz sin comentar.</t>
        </is>
      </c>
      <c r="L26" s="42" t="inlineStr">
        <is>
          <t>100, 3 y T#500MS literales repetidos.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A3-6370</t>
        </is>
      </c>
      <c r="B27" s="39" t="inlineStr">
        <is>
          <t>Compila. Pasa los 15 pasos del harness.</t>
        </is>
      </c>
      <c r="C27" s="40" t="n">
        <v>3</v>
      </c>
      <c r="D27" s="41" t="n">
        <v>3</v>
      </c>
      <c r="E27" s="41" t="n">
        <v>2</v>
      </c>
      <c r="F27" s="41" t="n">
        <v>3</v>
      </c>
      <c r="G27" s="41" t="n">
        <v>1</v>
      </c>
      <c r="H27" s="40">
        <f>IF(COUNT(C27:G27)=5,SUM(C27:G27),"")</f>
        <v/>
      </c>
      <c r="I27" s="42" t="inlineStr">
        <is>
          <t>Compila sin cambios; TON y TIME correctos, flanco explícito.</t>
        </is>
      </c>
      <c r="J27" s="42" t="inlineStr">
        <is>
          <t>Coherente, pero rxOk evaluado por nivel con el riesgo de quemar intentos con dato erróneo sostenido.</t>
        </is>
      </c>
      <c r="K27" s="42" t="inlineStr">
        <is>
          <t>Secciones claras y comentarios que explican el porqué del arranque en el ciclo siguiente.</t>
        </is>
      </c>
      <c r="L27" s="42" t="inlineStr">
        <is>
          <t>txValor declarado; 3 y T#500MS literales repetidos.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A3-8583</t>
        </is>
      </c>
      <c r="B28" s="39" t="inlineStr">
        <is>
          <t>Compila. Falla 10 de 15 pasos del harness (pasos 3,4,5,6,7,8,9,12,13,14;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10 de 15 pasos incluido el eco en intento 1: el TON no se llama cíclicamente; eco erróneo no tratado.</t>
        </is>
      </c>
      <c r="J28" s="42" t="inlineStr">
        <is>
          <t>El plazo nunca vence porque el TON no se ejecuta cada scan; falta la rama de eco erróneo.</t>
        </is>
      </c>
      <c r="K28" s="42" t="inlineStr">
        <is>
          <t>Nombres y comentarios adecuados aunque algunos imprecisos.</t>
        </is>
      </c>
      <c r="L28" s="42" t="inlineStr">
        <is>
          <t>100, 3 y T#500MS literales.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A3-4983</t>
        </is>
      </c>
      <c r="B29" s="39" t="inlineStr">
        <is>
          <t>Compila. Falla 14 de 15 pasos del harness (pasos 1,2,3,4,5,6,7,8,9,10,11,12,13,14;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Falla 14 de 15 pasos: TP empleado como plazo y respuesta evaluada solo durante el pulso; compila.</t>
        </is>
      </c>
      <c r="J29" s="42" t="inlineStr">
        <is>
          <t>TP mal usado, arranque por nivel y estados 2/3 vacíos; ok/error nunca se limpian hasta el siguiente arranque.</t>
        </is>
      </c>
      <c r="K29" s="42" t="inlineStr">
        <is>
          <t>CASE con estados comentados, legible.</t>
        </is>
      </c>
      <c r="L29" s="42" t="inlineStr">
        <is>
          <t>100, 3 y T#500MS literales.</t>
        </is>
      </c>
      <c r="M29" s="42" t="n"/>
      <c r="N29" s="40">
        <f>IF(COUNT(C29:G29)=5,"Completa","Falta")</f>
        <v/>
      </c>
    </row>
    <row r="30"/>
  </sheetData>
  <dataValidations count="3">
    <dataValidation sqref="C8:C10 C13:C14 C17:C20 C23:C25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A4 — Rampa de velocidad limitada (Avanzado)</t>
        </is>
      </c>
    </row>
    <row r="2" ht="15" customHeight="1" s="22">
      <c r="A2" s="33" t="inlineStr">
        <is>
          <t>Lee cada respuesta por su código en respuestas/Respuestas_A4.html.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A4-3724</t>
        </is>
      </c>
      <c r="B6" s="39" t="inlineStr">
        <is>
          <t>No compila (9 errores).</t>
        </is>
      </c>
      <c r="C6" s="40" t="n">
        <v>0</v>
      </c>
      <c r="D6" s="40" t="n">
        <v>0</v>
      </c>
      <c r="E6" s="41" t="n">
        <v>1</v>
      </c>
      <c r="F6" s="41" t="n">
        <v>2</v>
      </c>
      <c r="G6" s="41" t="n">
        <v>2</v>
      </c>
      <c r="H6" s="40">
        <f>IF(COUNT(C6:G6)=5,SUM(C6:G6),"")</f>
        <v/>
      </c>
      <c r="I6" s="39" t="inlineStr"/>
      <c r="J6" s="42" t="inlineStr">
        <is>
          <t>Clamps MIN/MAX correctos, pero TIME/T#1s es división entera (0 con ciclos &lt;1 s): la rampa nunca avanzaría; lastCVvel redundante.</t>
        </is>
      </c>
      <c r="K6" s="42" t="inlineStr">
        <is>
          <t>Nombres y comentarios claros por rama.</t>
        </is>
      </c>
      <c r="L6" s="42" t="inlineStr">
        <is>
          <t>Pendientes declaradas como variables con valor inicial.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A4-4106</t>
        </is>
      </c>
      <c r="B7" s="39" t="inlineStr">
        <is>
          <t>Compila. Pasa los 13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Compila sin cambios; conversión TIME→REAL con función estándar y POU adecuado: idiomático.</t>
        </is>
      </c>
      <c r="J7" s="42" t="inlineStr">
        <is>
          <t>Objetivo y paso unificados, recorte sin sobrepaso en ambos sentidos; paro con prioridad.</t>
        </is>
      </c>
      <c r="K7" s="42" t="inlineStr">
        <is>
          <t>Ordenado y comentado, nombres adecuados.</t>
        </is>
      </c>
      <c r="L7" s="42" t="inlineStr">
        <is>
          <t>Pendientes 10/20/40 como literales en el código.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A4-2094</t>
        </is>
      </c>
      <c r="B8" s="39" t="inlineStr">
        <is>
          <t>No compila (17 errores).</t>
        </is>
      </c>
      <c r="C8" s="40" t="n">
        <v>0</v>
      </c>
      <c r="D8" s="40" t="n">
        <v>0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39" t="inlineStr"/>
      <c r="J8" s="42" t="inlineStr">
        <is>
          <t>Lógica completa: prioridad de paro, recorte sin sobrepaso, contempla CV negativo en paro.</t>
        </is>
      </c>
      <c r="K8" s="42" t="inlineStr">
        <is>
          <t>Secciones bien delimitadas y comentarios que explican el porqué de cada recorte.</t>
        </is>
      </c>
      <c r="L8" s="42" t="inlineStr">
        <is>
          <t>Pendientes nombradas como constantes (aunque con bloque CONST inválido).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A4-8650</t>
        </is>
      </c>
      <c r="B9" s="39" t="inlineStr">
        <is>
          <t>No compila (3 errores).</t>
        </is>
      </c>
      <c r="C9" s="40" t="n">
        <v>0</v>
      </c>
      <c r="D9" s="40" t="n">
        <v>0</v>
      </c>
      <c r="E9" s="41" t="n">
        <v>0</v>
      </c>
      <c r="F9" s="41" t="n">
        <v>1</v>
      </c>
      <c r="G9" s="41" t="n">
        <v>2</v>
      </c>
      <c r="H9" s="40">
        <f>IF(COUNT(C9:G9)=5,SUM(C9:G9),"")</f>
        <v/>
      </c>
      <c r="I9" s="39" t="inlineStr"/>
      <c r="J9" s="42" t="inlineStr">
        <is>
          <t>Al final asigna CVvel := SPvel en ambas ramas (salto inmediato) y suma el decremento de bajada con signo positivo: contradictorio.</t>
        </is>
      </c>
      <c r="K9" s="42" t="inlineStr">
        <is>
          <t>Comentarios presentes pero incorrectos (tiempoCiclo 'en segundos' siendo TIME).</t>
        </is>
      </c>
      <c r="L9" s="42" t="inlineStr">
        <is>
          <t>Pendientes declaradas como variables.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A4-8630</t>
        </is>
      </c>
      <c r="B10" s="39" t="inlineStr">
        <is>
          <t>No compila (4 errores).</t>
        </is>
      </c>
      <c r="C10" s="40" t="n">
        <v>0</v>
      </c>
      <c r="D10" s="40" t="n">
        <v>0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Lógica correcta: paro prioritario con recorte en 0 y recortes sin sobrepaso en subida y bajada.</t>
        </is>
      </c>
      <c r="K10" s="42" t="inlineStr">
        <is>
          <t>Comentarios útiles y nombres claros.</t>
        </is>
      </c>
      <c r="L10" s="42" t="inlineStr">
        <is>
          <t>Pendientes como literales repetidos en el código.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A4-5382</t>
        </is>
      </c>
      <c r="B11" s="39" t="inlineStr">
        <is>
          <t>Compila. Pasa los 13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Compila sin cambios; conversión TIME→REAL con función estándar y POU adecuado: idiomático.</t>
        </is>
      </c>
      <c r="J11" s="42" t="inlineStr">
        <is>
          <t>Objetivo único y pasos por modo, recorte sin sobrepaso; robusta también con CV negativo en paro.</t>
        </is>
      </c>
      <c r="K11" s="42" t="inlineStr">
        <is>
          <t>Comentarios que justifican decisiones (pendiente simétrica en paro, sobrepaso).</t>
        </is>
      </c>
      <c r="L11" s="42" t="inlineStr">
        <is>
          <t>Pendientes como literales en el código.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A4-3981</t>
        </is>
      </c>
      <c r="B12" s="39" t="inlineStr">
        <is>
          <t>Compila. Pasa los 13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Compila sin cambios; conversión TIME→REAL con función estándar y POU adecuado: idiomático.</t>
        </is>
      </c>
      <c r="J12" s="42" t="inlineStr">
        <is>
          <t>Unifica objetivo y paso, recorte sin sobrepaso en ambos sentidos.</t>
        </is>
      </c>
      <c r="K12" s="42" t="inlineStr">
        <is>
          <t>Ordenado y comentado.</t>
        </is>
      </c>
      <c r="L12" s="42" t="inlineStr">
        <is>
          <t>Pendientes como literales.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A4-4874</t>
        </is>
      </c>
      <c r="B13" s="39" t="inlineStr">
        <is>
          <t>No compila (12 errores).</t>
        </is>
      </c>
      <c r="C13" s="40" t="n">
        <v>0</v>
      </c>
      <c r="D13" s="40" t="n">
        <v>0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Recortes correctos por anticipado (no rebasa el objetivo) y paro prioritario.</t>
        </is>
      </c>
      <c r="K13" s="42" t="inlineStr">
        <is>
          <t>Nombres descriptivos y comentarios por bloque.</t>
        </is>
      </c>
      <c r="L13" s="42" t="inlineStr">
        <is>
          <t>Pendientes declaradas como variables.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A4-8399</t>
        </is>
      </c>
      <c r="B14" s="39" t="inlineStr">
        <is>
          <t>No compila (4 errores).</t>
        </is>
      </c>
      <c r="C14" s="40" t="n">
        <v>0</v>
      </c>
      <c r="D14" s="40" t="n">
        <v>0</v>
      </c>
      <c r="E14" s="41" t="n">
        <v>3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Lógica correcta con recorte en 0 y en SPvel.</t>
        </is>
      </c>
      <c r="K14" s="42" t="inlineStr">
        <is>
          <t>Comentarios útiles con las pendientes indicadas.</t>
        </is>
      </c>
      <c r="L14" s="42" t="inlineStr">
        <is>
          <t>Pendientes como literales.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A4-9812</t>
        </is>
      </c>
      <c r="B15" s="39" t="inlineStr">
        <is>
          <t>Compila. Pasa los 13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sin cambios; VAR CONSTANT y conversión estándar: idiomático.</t>
        </is>
      </c>
      <c r="J15" s="42" t="inlineStr">
        <is>
          <t>Robusta: compara el error con el paso máximo antes de mover, mantiene 0 en paro.</t>
        </is>
      </c>
      <c r="K15" s="42" t="inlineStr">
        <is>
          <t>Secciones y comentarios que explican el porqué (llegar exactamente, evitar sobrepaso).</t>
        </is>
      </c>
      <c r="L15" s="42" t="inlineStr">
        <is>
          <t>Pendientes en VAR CONSTANT,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A4-2107</t>
        </is>
      </c>
      <c r="B16" s="39" t="inlineStr">
        <is>
          <t>No compila (6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2</v>
      </c>
      <c r="H16" s="40">
        <f>IF(COUNT(C16:G16)=5,SUM(C16:G16),"")</f>
        <v/>
      </c>
      <c r="I16" s="39" t="inlineStr"/>
      <c r="J16" s="42" t="inlineStr">
        <is>
          <t>TIME/T#1s es división entera (0 para ciclos de ms): la rampa no avanzaría; lastCVvel redundante.</t>
        </is>
      </c>
      <c r="K16" s="42" t="inlineStr">
        <is>
          <t>Comentarios por rama, nombres claros.</t>
        </is>
      </c>
      <c r="L16" s="42" t="inlineStr">
        <is>
          <t>Pendientes declaradas como variables.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A4-1899</t>
        </is>
      </c>
      <c r="B17" s="39" t="inlineStr">
        <is>
          <t>No compila (16 errores).</t>
        </is>
      </c>
      <c r="C17" s="40" t="n">
        <v>0</v>
      </c>
      <c r="D17" s="40" t="n">
        <v>0</v>
      </c>
      <c r="E17" s="41" t="n">
        <v>0</v>
      </c>
      <c r="F17" s="41" t="n">
        <v>1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División entera dt/T#1S anula la rampa y el recorte final fuerza CVvel a SPvel incluso en paro: contradictorio.</t>
        </is>
      </c>
      <c r="K17" s="42" t="inlineStr">
        <is>
          <t>Comentario de salida incorrecto ('Condicional de velocidad') y constantes reasignadas en el código.</t>
        </is>
      </c>
      <c r="L17" s="42" t="inlineStr">
        <is>
          <t>Pendientes en variables nombradas, aunque reasignadas cada scan.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A4-3900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de rampa y recortes correcta (el error de conversión es de compilación).</t>
        </is>
      </c>
      <c r="K18" s="42" t="inlineStr">
        <is>
          <t>Comentarios útiles en cada rama.</t>
        </is>
      </c>
      <c r="L18" s="42" t="inlineStr">
        <is>
          <t>Pendientes como literales.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A4-5751</t>
        </is>
      </c>
      <c r="B19" s="39" t="inlineStr">
        <is>
          <t>No compila (16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2</v>
      </c>
      <c r="H19" s="40">
        <f>IF(COUNT(C19:G19)=5,SUM(C19:G19),"")</f>
        <v/>
      </c>
      <c r="I19" s="39" t="inlineStr"/>
      <c r="J19" s="42" t="inlineStr">
        <is>
          <t>dt_sec := dt / T#1S es división entera (0): la rampa no avanzaría; lastTime sin uso.</t>
        </is>
      </c>
      <c r="K19" s="42" t="inlineStr">
        <is>
          <t>Comentarios y secciones claros.</t>
        </is>
      </c>
      <c r="L19" s="42" t="inlineStr">
        <is>
          <t>Pendientes declaradas como variables.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A4-5499</t>
        </is>
      </c>
      <c r="B20" s="39" t="inlineStr">
        <is>
          <t>No compila (25 errores).</t>
        </is>
      </c>
      <c r="C20" s="40" t="n">
        <v>0</v>
      </c>
      <c r="D20" s="40" t="n">
        <v>0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Robusta: compara diferencia con el paso máximo, objetivo unificado y paro prioritario.</t>
        </is>
      </c>
      <c r="K20" s="42" t="inlineStr">
        <is>
          <t>Pasos numerados y comentarios que explican el porqué.</t>
        </is>
      </c>
      <c r="L20" s="42" t="inlineStr">
        <is>
          <t>Pendientes como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A4-1758</t>
        </is>
      </c>
      <c r="B21" s="39" t="inlineStr">
        <is>
          <t>No compila (4 errores).</t>
        </is>
      </c>
      <c r="C21" s="40" t="n">
        <v>0</v>
      </c>
      <c r="D21" s="40" t="n">
        <v>0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Recortes anticipados correctos y paro prioritario.</t>
        </is>
      </c>
      <c r="K21" s="42" t="inlineStr">
        <is>
          <t>Comentarios útiles, aunque reutiliza 'incremento' para la diferencia.</t>
        </is>
      </c>
      <c r="L21" s="42" t="inlineStr">
        <is>
          <t>Pendientes como literales.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A4-3118</t>
        </is>
      </c>
      <c r="B22" s="39" t="inlineStr">
        <is>
          <t>Compila. Pasa los 13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 sin cambios; conversión TIME→REAL con función estándar y POU adecuado: idiomático.</t>
        </is>
      </c>
      <c r="J22" s="42" t="inlineStr">
        <is>
          <t>Robusta: compara error con paso máximo, mantiene 0 en paro, sin sobrepaso.</t>
        </is>
      </c>
      <c r="K22" s="42" t="inlineStr">
        <is>
          <t>Comentarios útiles; nombre 'rampaBAja' con errata.</t>
        </is>
      </c>
      <c r="L22" s="42" t="inlineStr">
        <is>
          <t>Pendientes declaradas como variables con valor inicial.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A4-5971</t>
        </is>
      </c>
      <c r="B23" s="39" t="inlineStr">
        <is>
          <t>Compila. Pasa los 13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sin cambios; VAR CONSTANT y conversión estándar: idiomático.</t>
        </is>
      </c>
      <c r="J23" s="42" t="inlineStr">
        <is>
          <t>Robusta: contempla CV negativo en paro y recortes en ambos sentidos; rObjetivo en paro sin uso.</t>
        </is>
      </c>
      <c r="K23" s="42" t="inlineStr">
        <is>
          <t>Secciones claras y comentarios que explican el porqué de cada recorte.</t>
        </is>
      </c>
      <c r="L23" s="42" t="inlineStr">
        <is>
          <t>Pendientes en VAR CONSTANT con nombres claros.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A4-4944</t>
        </is>
      </c>
      <c r="B24" s="39" t="inlineStr">
        <is>
          <t>Compila. Pasa los 13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Compila sin cambios; TIME_TO_UDINT/UDINT_TO_REAL estándar.</t>
        </is>
      </c>
      <c r="J24" s="42" t="inlineStr">
        <is>
          <t>Robusta: tasa por modo y recorte por ABS(diferencia) sin sobrepaso.</t>
        </is>
      </c>
      <c r="K24" s="42" t="inlineStr">
        <is>
          <t>Comentarios útiles, aunque afirma que ms es 'estándar IEC'.</t>
        </is>
      </c>
      <c r="L24" s="42" t="inlineStr">
        <is>
          <t>Pendientes como literales.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A4-6890</t>
        </is>
      </c>
      <c r="B25" s="39" t="inlineStr">
        <is>
          <t>No compila (4 errores).</t>
        </is>
      </c>
      <c r="C25" s="40" t="n">
        <v>0</v>
      </c>
      <c r="D25" s="40" t="n">
        <v>0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Lógica correcta de rampa y recortes.</t>
        </is>
      </c>
      <c r="K25" s="42" t="inlineStr">
        <is>
          <t>Comentarios útiles con pendientes indicadas.</t>
        </is>
      </c>
      <c r="L25" s="42" t="inlineStr">
        <is>
          <t>Pendientes como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A4-8514</t>
        </is>
      </c>
      <c r="B26" s="39" t="inlineStr">
        <is>
          <t>No compila (4 errores).</t>
        </is>
      </c>
      <c r="C26" s="40" t="n">
        <v>0</v>
      </c>
      <c r="D26" s="40" t="n">
        <v>0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Lógica correcta de rampa y recortes.</t>
        </is>
      </c>
      <c r="K26" s="42" t="inlineStr">
        <is>
          <t>Comentarios por rama, nombres claros.</t>
        </is>
      </c>
      <c r="L26" s="42" t="inlineStr">
        <is>
          <t>Pendientes como literales.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A4-3246</t>
        </is>
      </c>
      <c r="B27" s="39" t="inlineStr">
        <is>
          <t>Compila. Pasa los 13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Compila sin cambios; conversión TIME→REAL con función estándar y POU adecuado: idiomático.</t>
        </is>
      </c>
      <c r="J27" s="42" t="inlineStr">
        <is>
          <t>Robusta: compara error con paso máximo, mantiene 0 en paro.</t>
        </is>
      </c>
      <c r="K27" s="42" t="inlineStr">
        <is>
          <t>Comentarios útiles; errata 'rampaBAja'.</t>
        </is>
      </c>
      <c r="L27" s="42" t="inlineStr">
        <is>
          <t>Pendientes declaradas como variables con valor inicial.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A4-4221</t>
        </is>
      </c>
      <c r="B28" s="39" t="inlineStr">
        <is>
          <t>Compila. Pasa los 13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Compila sin cambios; conversión TIME→REAL con función estándar y POU adecuado: idiomático.</t>
        </is>
      </c>
      <c r="J28" s="42" t="inlineStr">
        <is>
          <t>Objetivo y paso unificados, recorte sin sobrepaso.</t>
        </is>
      </c>
      <c r="K28" s="42" t="inlineStr">
        <is>
          <t>Ordenado y comentado.</t>
        </is>
      </c>
      <c r="L28" s="42" t="inlineStr">
        <is>
          <t>Pendientes como literales.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A4-3284</t>
        </is>
      </c>
      <c r="B29" s="39" t="inlineStr">
        <is>
          <t>Compila. Pasa los 13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Compila sin cambios; conversión TIME→REAL con función estándar y POU adecuado: idiomático.</t>
        </is>
      </c>
      <c r="J29" s="42" t="inlineStr">
        <is>
          <t>Robusta: compara error con paso máximo, mantiene 0 en paro.</t>
        </is>
      </c>
      <c r="K29" s="42" t="inlineStr">
        <is>
          <t>Comentarios útiles; errata 'rampaBAja'.</t>
        </is>
      </c>
      <c r="L29" s="42" t="inlineStr">
        <is>
          <t>Pendientes declaradas como variables con valor inicial.</t>
        </is>
      </c>
      <c r="M29" s="42" t="n"/>
      <c r="N29" s="40">
        <f>IF(COUNT(C29:G29)=5,"Completa","Falta")</f>
        <v/>
      </c>
    </row>
    <row r="30"/>
  </sheetData>
  <dataValidations count="2">
    <dataValidation sqref="D7 D11:D12 D15 D22:D24 D27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A5 — Registro de eventos en buffer circular (Avanzado)</t>
        </is>
      </c>
    </row>
    <row r="2" ht="15" customHeight="1" s="22">
      <c r="A2" s="33" t="inlineStr">
        <is>
          <t>Lee cada respuesta por su código en respuestas/Respuestas_A5.html.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A5-1851</t>
        </is>
      </c>
      <c r="B6" s="39" t="inlineStr">
        <is>
          <t>Compila. Falla 6 de 6 pasos del harness (pasos 0,1,2,3,4,5;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el caso nominal (6/6 pasos): indice no se inicializa a -1, el primer evento va a la posición 1; compila con declaraciones correctas y flanco manual.</t>
        </is>
      </c>
      <c r="J6" s="42" t="inlineStr">
        <is>
          <t>indice sin inicializar a -1 con efecto: desplaza todas las posiciones de escritura y la salida inicial es 0.</t>
        </is>
      </c>
      <c r="K6" s="42" t="inlineStr">
        <is>
          <t>Nombres descriptivos y comentarios útiles; TYPE ubicado tras las declaraciones del FB resta orden.</t>
        </is>
      </c>
      <c r="L6" s="42" t="inlineStr">
        <is>
          <t>Tamaño 20 codificado en MOD y en el tope de nEventos; sin constantes.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A5-9329</t>
        </is>
      </c>
      <c r="B7" s="39" t="inlineStr">
        <is>
          <t>No compila (1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Lógica correcta: indice inicia en -1, avance circular con MOD y nEventos saturado; flanco manual bien resuelto.</t>
        </is>
      </c>
      <c r="K7" s="42" t="inlineStr">
        <is>
          <t>Nombres claros, secciones ordenadas y comentarios breves útiles.</t>
        </is>
      </c>
      <c r="L7" s="42" t="inlineStr">
        <is>
          <t>Valor 20 repetido como número mágico; sin constante para el tamaño del buffer.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A5-6029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Compila sin cambios con declaraciones correctas; flanco detectado manualmente en lugar de R_TRIG.</t>
        </is>
      </c>
      <c r="J8" s="42" t="inlineStr">
        <is>
          <t>Sin contradicciones: inicialización explícita de indice/nEventos, wrap y saturación robustos.</t>
        </is>
      </c>
      <c r="K8" s="42" t="inlineStr">
        <is>
          <t>Nombres descriptivos y comentarios que explican cada paso; un único FB sin más modularización.</t>
        </is>
      </c>
      <c r="L8" s="42" t="inlineStr">
        <is>
          <t>Límites 19 y 20 codificados como literales; cambiar el tamaño exige editar varios puntos.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A5-4425</t>
        </is>
      </c>
      <c r="B9" s="39" t="inlineStr">
        <is>
          <t>Compila. Falla 6 de 6 pasos del harness (pasos 0,1,2,3,4,5; numerados desde 0).</t>
        </is>
      </c>
      <c r="C9" s="41" t="n">
        <v>0</v>
      </c>
      <c r="D9" s="41" t="n">
        <v>2</v>
      </c>
      <c r="E9" s="41" t="n">
        <v>0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el caso nominal (6/6 pasos): indice arranca en 0, la rama indice=-1 nunca se ejecuta y el primer evento va a la posición 1.</t>
        </is>
      </c>
      <c r="J9" s="42" t="inlineStr">
        <is>
          <t>Rama indice = -1 muerta por falta de inicialización; variable sin inicializar con efecto en todas las posiciones.</t>
        </is>
      </c>
      <c r="K9" s="42" t="inlineStr">
        <is>
          <t>Nombres y comentarios adecuados; la declaración TYPE dentro del FB desordena la estructura.</t>
        </is>
      </c>
      <c r="L9" s="42" t="inlineStr">
        <is>
          <t>Tamaño 20 codificado como literal en varios puntos.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A5-3558</t>
        </is>
      </c>
      <c r="B10" s="39" t="inlineStr">
        <is>
          <t>No compila (3 errores).</t>
        </is>
      </c>
      <c r="C10" s="40" t="n">
        <v>0</v>
      </c>
      <c r="D10" s="40" t="n">
        <v>0</v>
      </c>
      <c r="E10" s="41" t="n">
        <v>2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Lógica de flanco, índice circular desde -1 y saturación de nEventos coherente.</t>
        </is>
      </c>
      <c r="K10" s="42" t="inlineStr">
        <is>
          <t>Comentarios y nombres claros, secciones identificadas.</t>
        </is>
      </c>
      <c r="L10" s="42" t="inlineStr">
        <is>
          <t>Literales 20 repetidos; sin parametrización del tamaño.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A5-7727</t>
        </is>
      </c>
      <c r="B11" s="39" t="inlineStr">
        <is>
          <t>No compila (1 errores).</t>
        </is>
      </c>
      <c r="C11" s="40" t="n">
        <v>0</v>
      </c>
      <c r="D11" s="40" t="n">
        <v>0</v>
      </c>
      <c r="E11" s="41" t="n">
        <v>1</v>
      </c>
      <c r="F11" s="41" t="n">
        <v>2</v>
      </c>
      <c r="G11" s="41" t="n">
        <v>1</v>
      </c>
      <c r="H11" s="40">
        <f>IF(COUNT(C11:G11)=5,SUM(C11:G11),"")</f>
        <v/>
      </c>
      <c r="I11" s="39" t="inlineStr"/>
      <c r="J11" s="42" t="inlineStr">
        <is>
          <t>Lógica funcional, pero indice se fuerza a -1 con un parche posterior redundante en vez de inicializarlo en la declaración.</t>
        </is>
      </c>
      <c r="K11" s="42" t="inlineStr">
        <is>
          <t>Comentarios abundantes y nombres claros, aunque uno afirma erróneamente que no se puede inicializar con -1.</t>
        </is>
      </c>
      <c r="L11" s="42" t="inlineStr">
        <is>
          <t>Tamaño 19/20 en literales; puntero nextPos separado añade estado a mantener.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A5-7771</t>
        </is>
      </c>
      <c r="B12" s="39" t="inlineStr">
        <is>
          <t>Compila. Falla 6 de 6 pasos del harness (pasos 0,1,2,3,4,5; numerados desde 0).</t>
        </is>
      </c>
      <c r="C12" s="41" t="n">
        <v>0</v>
      </c>
      <c r="D12" s="41" t="n">
        <v>1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La lógica está en un METHOD (extensión OOP de CODESYS, retorno VOID) que nunca se invoca; el cuerpo del FB queda vacío y falla los 6 pasos.</t>
        </is>
      </c>
      <c r="J12" s="42" t="inlineStr">
        <is>
          <t>Sin detección de flanco, inicialización por tiempoAcumulado = T#0s frágil y lógica inalcanzable desde el FB.</t>
        </is>
      </c>
      <c r="K12" s="42" t="inlineStr">
        <is>
          <t>Estructura confusa: TYPE dentro del FB y método homónimo al bloque; comentarios correctos pero insuficientes.</t>
        </is>
      </c>
      <c r="L12" s="42" t="inlineStr">
        <is>
          <t>Tamaño fijo en literales y arquitectura que habría que reescribir para que funcione.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A5-3414</t>
        </is>
      </c>
      <c r="B13" s="39" t="inlineStr">
        <is>
          <t>No compila (3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39" t="inlineStr"/>
      <c r="J13" s="42" t="inlineStr">
        <is>
          <t>Flanco manual, índice desde -1 y saturación de nEventos sin contradicciones.</t>
        </is>
      </c>
      <c r="K13" s="42" t="inlineStr">
        <is>
          <t>Nombres descriptivos y comentarios por sección.</t>
        </is>
      </c>
      <c r="L13" s="42" t="inlineStr">
        <is>
          <t>Literales 20 sin constante declarada.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A5-4442</t>
        </is>
      </c>
      <c r="B14" s="39" t="inlineStr">
        <is>
          <t>No compila (1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Lógica correcta y completa: flanco, índice circular desde -1, saturación del contador.</t>
        </is>
      </c>
      <c r="K14" s="42" t="inlineStr">
        <is>
          <t>Código ordenado con comentarios útiles y nombres claros.</t>
        </is>
      </c>
      <c r="L14" s="42" t="inlineStr">
        <is>
          <t>Tamaño del buffer como número mágico repetido.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A5-5130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sin cambios y usa R_TRIG estándar bien instanciado; TIME y tipos correctos.</t>
        </is>
      </c>
      <c r="J15" s="42" t="inlineStr">
        <is>
          <t>Inicialización explícita, avance circular y saturación robustos; sin estados muertos.</t>
        </is>
      </c>
      <c r="K15" s="42" t="inlineStr">
        <is>
          <t>Nombres claros y comentarios breves; FB único sin separación adicional.</t>
        </is>
      </c>
      <c r="L15" s="42" t="inlineStr">
        <is>
          <t>20 codificado en MOD y en el tope; sin constante de tamaño.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A5-3386</t>
        </is>
      </c>
      <c r="B16" s="39" t="inlineStr">
        <is>
          <t>No compila (1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Posiciones de escritura correctas, pero indice no se inicializa a -1 y vale 0 antes del primer evento.</t>
        </is>
      </c>
      <c r="K16" s="42" t="inlineStr">
        <is>
          <t>Nombres y comentarios adecuados, flujo ordenado.</t>
        </is>
      </c>
      <c r="L16" s="42" t="inlineStr">
        <is>
          <t>Tamaño 20 en literales repetidos.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A5-7063</t>
        </is>
      </c>
      <c r="B17" s="39" t="inlineStr">
        <is>
          <t>Compila. Pasa los 6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Compila sin cambios con tipos correctos; flanco manual en vez de R_TRIG.</t>
        </is>
      </c>
      <c r="J17" s="42" t="inlineStr">
        <is>
          <t>Inicialización explícita, transiciones completas y saturación robusta.</t>
        </is>
      </c>
      <c r="K17" s="42" t="inlineStr">
        <is>
          <t>Pasos numerados con comentarios útiles y nombres descriptivos.</t>
        </is>
      </c>
      <c r="L17" s="42" t="inlineStr">
        <is>
          <t>Límites 19 y 20 como literales.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A5-4556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indice sin inicializar (0) con efecto: el primer evento se escribe en la posición 1; el comentario promete una lógica de arranque inexistente.</t>
        </is>
      </c>
      <c r="K18" s="42" t="inlineStr">
        <is>
          <t>Comentarios extensos pero incorrectos respecto al código; falta END_FUNCTION_BLOCK.</t>
        </is>
      </c>
      <c r="L18" s="42" t="inlineStr">
        <is>
          <t>Tamaño 20 en literales; variable auxiliar redundante.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A5-8849</t>
        </is>
      </c>
      <c r="B19" s="39" t="inlineStr">
        <is>
          <t>No compila (1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39" t="inlineStr"/>
      <c r="J19" s="42" t="inlineStr">
        <is>
          <t>Escritura circular correcta con nextIndice, pero indice no se inicializa a -1 y vale 0 sin eventos.</t>
        </is>
      </c>
      <c r="K19" s="42" t="inlineStr">
        <is>
          <t>Nombres y comentarios claros, secciones ordenadas.</t>
        </is>
      </c>
      <c r="L19" s="42" t="inlineStr">
        <is>
          <t>Literales 20 repetidos.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A5-7832</t>
        </is>
      </c>
      <c r="B20" s="39" t="inlineStr">
        <is>
          <t>Compila. Falla 6 de 6 pasos del harness (pasos 0,1,2,3,4,5; numerados desde 0).</t>
        </is>
      </c>
      <c r="C20" s="41" t="n">
        <v>0</v>
      </c>
      <c r="D20" s="41" t="n">
        <v>1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Lógica dentro de un METHOD VOID (extensión fuera del estándar) que nunca se llama; falla los 6 pasos.</t>
        </is>
      </c>
      <c r="J20" s="42" t="inlineStr">
        <is>
          <t>Sin flanco, condición indice = -1 inalcanzable (indice arranca en 0) y acumulación condicionada de forma incoherente.</t>
        </is>
      </c>
      <c r="K20" s="42" t="inlineStr">
        <is>
          <t>Estructura confusa con TYPE dentro del FB y método homónimo; comentarios engañosos.</t>
        </is>
      </c>
      <c r="L20" s="42" t="inlineStr">
        <is>
          <t>Tamaño fijo y diseño que requiere reescritura.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A5-2051</t>
        </is>
      </c>
      <c r="B21" s="39" t="inlineStr">
        <is>
          <t>Compila. Pasa los 6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Compila sin cambios con declaraciones correctas; flanco manual en lugar de R_TRIG.</t>
        </is>
      </c>
      <c r="J21" s="42" t="inlineStr">
        <is>
          <t>Correcta, pero indice=-1 se logra con un parche en la rama ELSE en lugar de inicializarlo en la declaración.</t>
        </is>
      </c>
      <c r="K21" s="42" t="inlineStr">
        <is>
          <t>Secciones numeradas y comentarios que explican el porqué, aunque algo enrevesados.</t>
        </is>
      </c>
      <c r="L21" s="42" t="inlineStr">
        <is>
          <t>Literales 19/20 sin constante; puntero auxiliar adicional.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A5-8294</t>
        </is>
      </c>
      <c r="B22" s="39" t="inlineStr">
        <is>
          <t>Compila. Falla 6 de 6 pasos del harness (pasos 0,1,2,3,4,5; numerados desde 0).</t>
        </is>
      </c>
      <c r="C22" s="41" t="n">
        <v>0</v>
      </c>
      <c r="D22" s="41" t="n">
        <v>2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Compila con declaraciones correctas, pero registra por nivel y no por flanco e indice arranca en 0; falla los 6 pasos.</t>
        </is>
      </c>
      <c r="J22" s="42" t="inlineStr">
        <is>
          <t>Sin detección de flanco: nuevoEvento sostenido registra en cada ciclo; indice/nEventos solo se actualizan al registrar.</t>
        </is>
      </c>
      <c r="K22" s="42" t="inlineStr">
        <is>
          <t>Nombres y comentarios aceptables; variables espejo de las salidas confunden.</t>
        </is>
      </c>
      <c r="L22" s="42" t="inlineStr">
        <is>
          <t>Tamaño 20 codificado y lógica duplicada en variables internas y salidas.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A5-1206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Compila sin cambios y usa R_TRIG estándar correctamente instanciado.</t>
        </is>
      </c>
      <c r="J23" s="42" t="inlineStr">
        <is>
          <t>Inicialización explícita y lógica circular robusta sin estados muertos.</t>
        </is>
      </c>
      <c r="K23" s="42" t="inlineStr">
        <is>
          <t>Nombres claros y comentarios útiles por bloque.</t>
        </is>
      </c>
      <c r="L23" s="42" t="inlineStr">
        <is>
          <t>20 como literal en MOD y tope.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A5-2632</t>
        </is>
      </c>
      <c r="B24" s="39" t="inlineStr">
        <is>
          <t>No compila (1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Escritura circular correcta, pero indice no inicia en -1 (vale 0 sin eventos).</t>
        </is>
      </c>
      <c r="K24" s="42" t="inlineStr">
        <is>
          <t>Nombres claros y comentarios útiles.</t>
        </is>
      </c>
      <c r="L24" s="42" t="inlineStr">
        <is>
          <t>Literales 20 repetidos.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A5-6758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Compila sin cambios con R_TRIG estándar y tipos TIME correctos.</t>
        </is>
      </c>
      <c r="J25" s="42" t="inlineStr">
        <is>
          <t>Inicialización explícita, wrap y saturación robustos.</t>
        </is>
      </c>
      <c r="K25" s="42" t="inlineStr">
        <is>
          <t>Nombres descriptivos y comentarios útiles.</t>
        </is>
      </c>
      <c r="L25" s="42" t="inlineStr">
        <is>
          <t>Límites 19 y 20 codificados en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A5-1636</t>
        </is>
      </c>
      <c r="B26" s="39" t="inlineStr">
        <is>
          <t>Compila. Pasa los 6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sin cambios con declaraciones correctas; flanco manual en lugar de R_TRIG.</t>
        </is>
      </c>
      <c r="J26" s="42" t="inlineStr">
        <is>
          <t>Inicialización explícita y transiciones completas, comportamiento robusto.</t>
        </is>
      </c>
      <c r="K26" s="42" t="inlineStr">
        <is>
          <t>Pasos numerados y comentarios útiles; nombres descriptivos.</t>
        </is>
      </c>
      <c r="L26" s="42" t="inlineStr">
        <is>
          <t>Límites 19/20 como literales.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A5-2042</t>
        </is>
      </c>
      <c r="B27" s="39" t="inlineStr">
        <is>
          <t>Compila. Falla 6 de 6 pasos del harness (pasos 0,1,2,3,4,5; numerados desde 0).</t>
        </is>
      </c>
      <c r="C27" s="41" t="n">
        <v>0</v>
      </c>
      <c r="D27" s="41" t="n">
        <v>2</v>
      </c>
      <c r="E27" s="41" t="n">
        <v>0</v>
      </c>
      <c r="F27" s="41" t="n">
        <v>1</v>
      </c>
      <c r="G27" s="41" t="n">
        <v>1</v>
      </c>
      <c r="H27" s="40">
        <f>IF(COUNT(C27:G27)=5,SUM(C27:G27),"")</f>
        <v/>
      </c>
      <c r="I27" s="42" t="inlineStr">
        <is>
          <t>Compila, pero registra por nivel e indice arranca en 0, por lo que el primer evento va a la posición 1; falla los 6 pasos.</t>
        </is>
      </c>
      <c r="J27" s="42" t="inlineStr">
        <is>
          <t>Sin flanco, indice sin inicializar con efecto y bandera primeraVez redundante.</t>
        </is>
      </c>
      <c r="K27" s="42" t="inlineStr">
        <is>
          <t>TYPE dentro del FB y falta END_FUNCTION_BLOCK; comentarios correctos pero estructura desordenada.</t>
        </is>
      </c>
      <c r="L27" s="42" t="inlineStr">
        <is>
          <t>Tamaño 20 en literales.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A5-9447</t>
        </is>
      </c>
      <c r="B28" s="39" t="inlineStr">
        <is>
          <t>No compila (1 errores).</t>
        </is>
      </c>
      <c r="C28" s="40" t="n">
        <v>0</v>
      </c>
      <c r="D28" s="40" t="n">
        <v>0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Escritura circular correcta, pero indice no se inicializa a -1.</t>
        </is>
      </c>
      <c r="K28" s="42" t="inlineStr">
        <is>
          <t>Nombres claros y comentarios útiles por sección.</t>
        </is>
      </c>
      <c r="L28" s="42" t="inlineStr">
        <is>
          <t>Literales 20 sin constante.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A5-2012</t>
        </is>
      </c>
      <c r="B29" s="39" t="inlineStr">
        <is>
          <t>Compila. Falla 1 de 6 pasos del harness (pasos 0; numerados desde 0).</t>
        </is>
      </c>
      <c r="C29" s="41" t="n">
        <v>2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Correcto en registro, sobrescritura y conteo; solo falla el paso 0 porque indice vale 0 en lugar de -1 sin eventos.</t>
        </is>
      </c>
      <c r="J29" s="42" t="inlineStr">
        <is>
          <t>indice sin inicializar a -1: estado inicial de la salida incorrecto, aunque sin efecto en las escrituras.</t>
        </is>
      </c>
      <c r="K29" s="42" t="inlineStr">
        <is>
          <t>Nombres descriptivos y comentarios útiles.</t>
        </is>
      </c>
      <c r="L29" s="42" t="inlineStr">
        <is>
          <t>Literales 20 repetidos; sin constante de tamaño.</t>
        </is>
      </c>
      <c r="M29" s="42" t="n"/>
      <c r="N29" s="40">
        <f>IF(COUNT(C29:G29)=5,"Completa","Falta")</f>
        <v/>
      </c>
    </row>
    <row r="30"/>
  </sheetData>
  <dataValidations count="3">
    <dataValidation sqref="C6 C9 C12 C20 C22 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9 D12 D15 D17 D20:D23 D25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A6 — Modos de operación jerárquicos con forzado individual (Avanzado)</t>
        </is>
      </c>
    </row>
    <row r="2" ht="15" customHeight="1" s="22">
      <c r="A2" s="33" t="inlineStr">
        <is>
          <t>Lee cada respuesta por su código en respuestas/Respuestas_A6.html.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A6-5636</t>
        </is>
      </c>
      <c r="B6" s="39" t="inlineStr">
        <is>
          <t>No compila (38 errores).</t>
        </is>
      </c>
      <c r="C6" s="40" t="n">
        <v>0</v>
      </c>
      <c r="D6" s="40" t="n">
        <v>0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39" t="inlineStr"/>
      <c r="J6" s="42" t="inlineStr">
        <is>
          <t>Sin estadoSeguro fuerza modo manual en vez de conservar el vigente; forzado por nivel, sin apagado al entrar a mantenimiento y arreglo forzado sin efecto en salidas.</t>
        </is>
      </c>
      <c r="K6" s="42" t="inlineStr">
        <is>
          <t>Nombres descriptivos y comentarios por sección; arreglo forzado declarado pero sin uso real.</t>
        </is>
      </c>
      <c r="L6" s="42" t="inlineStr">
        <is>
          <t>Rango 0..7 y códigos de modo como literales repetidos; bucles duplicados.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A6-1663</t>
        </is>
      </c>
      <c r="B7" s="39" t="inlineStr">
        <is>
          <t>No compila (16 errores).</t>
        </is>
      </c>
      <c r="C7" s="40" t="n">
        <v>0</v>
      </c>
      <c r="D7" s="40" t="n">
        <v>0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39" t="inlineStr"/>
      <c r="J7" s="42" t="inlineStr">
        <is>
          <t>La 'inicialización' se ejecuta en cada scan: modoActivo vuelve a 1 sin estadoSeguro y confirmarForzadoAnt se anula, por lo que no hay flanco real.</t>
        </is>
      </c>
      <c r="K7" s="42" t="inlineStr">
        <is>
          <t>Nombres claros, pero el comentario de inicialización describe algo que el código no hace.</t>
        </is>
      </c>
      <c r="L7" s="42" t="inlineStr">
        <is>
          <t>Literales 0..7 y modos codificados; lógica de forzado acoplada al CASE.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A6-6019</t>
        </is>
      </c>
      <c r="B8" s="39" t="inlineStr">
        <is>
          <t>No compila (32 errores).</t>
        </is>
      </c>
      <c r="C8" s="40" t="n">
        <v>0</v>
      </c>
      <c r="D8" s="40" t="n">
        <v>0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39" t="inlineStr"/>
      <c r="J8" s="42" t="inlineStr">
        <is>
          <t>Gestión de modo y forzado por flanco coherentes, pero los forzados no se anulan al salir de mantenimiento y reaparecen al volver.</t>
        </is>
      </c>
      <c r="K8" s="42" t="inlineStr">
        <is>
          <t>Nombres claros y comentarios por bloque.</t>
        </is>
      </c>
      <c r="L8" s="42" t="inlineStr">
        <is>
          <t>Literales 0..7 y códigos de modo repetidos.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A6-5711</t>
        </is>
      </c>
      <c r="B9" s="39" t="inlineStr">
        <is>
          <t>Compila. Pasa los 17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Compila sin cambios con declaraciones correctas; flanco detectado manualmente en lugar de R_TRIG.</t>
        </is>
      </c>
      <c r="J9" s="42" t="inlineStr">
        <is>
          <t>Transiciones completas: anula forzados al salir, apaga al entrar y al perder seguridad; robusta ante entradas simultáneas.</t>
        </is>
      </c>
      <c r="K9" s="42" t="inlineStr">
        <is>
          <t>Secciones claramente comentadas y nombres descriptivos; bandera primerCiclo algo redundante.</t>
        </is>
      </c>
      <c r="L9" s="42" t="inlineStr">
        <is>
          <t>Rango 0..7 y modos como literales; bucles FOR repetidos.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A6-9717</t>
        </is>
      </c>
      <c r="B10" s="39" t="inlineStr">
        <is>
          <t>No compila (14 errores).</t>
        </is>
      </c>
      <c r="C10" s="40" t="n">
        <v>0</v>
      </c>
      <c r="D10" s="40" t="n">
        <v>0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La 'inicialización' se ejecuta cada scan (modo vuelve a 1, flanco anulado); no apaga al entrar a mantenimiento y forzadoActivo no gobierna las salidas.</t>
        </is>
      </c>
      <c r="K10" s="42" t="inlineStr">
        <is>
          <t>Comentarios presentes pero el de inicialización es engañoso.</t>
        </is>
      </c>
      <c r="L10" s="42" t="inlineStr">
        <is>
          <t>Literales 0..7 y modos codificados.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A6-2982</t>
        </is>
      </c>
      <c r="B11" s="39" t="inlineStr">
        <is>
          <t>Compila. Pasa los 17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Compila sin cambios con tipos correctos; flanco manual en lugar de R_TRIG.</t>
        </is>
      </c>
      <c r="J11" s="42" t="inlineStr">
        <is>
          <t>Modo interno con anulación de forzados al salir y al perder seguridad; sin estados muertos.</t>
        </is>
      </c>
      <c r="K11" s="42" t="inlineStr">
        <is>
          <t>Secciones ordenadas con comentarios útiles; primeraEjecucion redundante.</t>
        </is>
      </c>
      <c r="L11" s="42" t="inlineStr">
        <is>
          <t>Literales 0..7 y modos sin constantes; bucles repetidos.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A6-6456</t>
        </is>
      </c>
      <c r="B12" s="39" t="inlineStr">
        <is>
          <t>No compila (36 errores).</t>
        </is>
      </c>
      <c r="C12" s="40" t="n">
        <v>0</v>
      </c>
      <c r="D12" s="40" t="n">
        <v>0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En mantenimiento apaga todo cada scan y fuerza por nivel, así que el forzado no se conserva; asignación modoVigente := modoVigente sin efecto.</t>
        </is>
      </c>
      <c r="K12" s="42" t="inlineStr">
        <is>
          <t>Comentarios presentes pero incluye un bloque sin efecto con comentario engañoso.</t>
        </is>
      </c>
      <c r="L12" s="42" t="inlineStr">
        <is>
          <t>Literales repetidos y arreglo forzado sin uso real.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A6-4813</t>
        </is>
      </c>
      <c r="B13" s="39" t="inlineStr">
        <is>
          <t>Compila. Pasa los 17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Compila sin cambios y usa R_TRIG estándar correctamente instanciado.</t>
        </is>
      </c>
      <c r="J13" s="42" t="inlineStr">
        <is>
          <t>Apagado al entrar a mantenimiento, anulación por pérdida de seguridad y salida natural de forzados; sin estados muertos.</t>
        </is>
      </c>
      <c r="K13" s="42" t="inlineStr">
        <is>
          <t>Pasos numerados con comentarios útiles y nombres descriptivos.</t>
        </is>
      </c>
      <c r="L13" s="42" t="inlineStr">
        <is>
          <t>Rango 0..7 y modos codificados como literales.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A6-9389</t>
        </is>
      </c>
      <c r="B14" s="39" t="inlineStr">
        <is>
          <t>Compila. Pasa los 17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Compila sin cambios con declaraciones correctas; flanco manual en lugar de R_TRIG.</t>
        </is>
      </c>
      <c r="J14" s="42" t="inlineStr">
        <is>
          <t>Transiciones completas y apagado al entrar a mantenimiento; comportamiento robusto.</t>
        </is>
      </c>
      <c r="K14" s="42" t="inlineStr">
        <is>
          <t>Secciones numeradas con comentarios claros.</t>
        </is>
      </c>
      <c r="L14" s="42" t="inlineStr">
        <is>
          <t>Literales 0..7 y modos sin constantes.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A6-5300</t>
        </is>
      </c>
      <c r="B15" s="39" t="inlineStr">
        <is>
          <t>Compila. Pasa los 17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sin cambios y usa R_TRIG estándar bien instanciado.</t>
        </is>
      </c>
      <c r="J15" s="42" t="inlineStr">
        <is>
          <t>Lógica de modos y forzados completa y sin contradicciones.</t>
        </is>
      </c>
      <c r="K15" s="42" t="inlineStr">
        <is>
          <t>Nombres claros y comentarios útiles por bloque.</t>
        </is>
      </c>
      <c r="L15" s="42" t="inlineStr">
        <is>
          <t>Rango 0..7 y modos como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A6-8649</t>
        </is>
      </c>
      <c r="B16" s="39" t="inlineStr">
        <is>
          <t>Compila. Falla 6 de 17 pasos del harness (pasos 6,7,8,9,10,15; numerados desde 0).</t>
        </is>
      </c>
      <c r="C16" s="41" t="n">
        <v>1</v>
      </c>
      <c r="D16" s="41" t="n">
        <v>2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Gestiona bien modos, rango y seguro, pero al entrar en mantenimiento no apaga los actuadores (falla pasos 6-10 y 15).</t>
        </is>
      </c>
      <c r="J16" s="42" t="inlineStr">
        <is>
          <t>Mecanismo de pendiente redundante y transición incompleta al entrar a mantenimiento (salidas heredan el modo previo).</t>
        </is>
      </c>
      <c r="K16" s="42" t="inlineStr">
        <is>
          <t>Secciones muy bien delimitadas y comentarios explicativos.</t>
        </is>
      </c>
      <c r="L16" s="42" t="inlineStr">
        <is>
          <t>Literales 0..7 y modos repetidos; lógica de salida de mantenimiento duplicada.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A6-1068</t>
        </is>
      </c>
      <c r="B17" s="39" t="inlineStr">
        <is>
          <t>Compila. Pasa los 17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Compila sin cambios con tipos correctos; flanco manual en lugar de R_TRIG.</t>
        </is>
      </c>
      <c r="J17" s="42" t="inlineStr">
        <is>
          <t>Forzados en arreglo propio, anulados al salir y al perder seguridad; transiciones completas.</t>
        </is>
      </c>
      <c r="K17" s="42" t="inlineStr">
        <is>
          <t>Secciones comentadas y nombres descriptivos.</t>
        </is>
      </c>
      <c r="L17" s="42" t="inlineStr">
        <is>
          <t>Literales 0..7 y modos sin constantes.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A6-5359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modoActivo sigue al selector sin exigir estadoSeguro; mantenimiento apaga cada scan y fuerza por nivel sin conservar.</t>
        </is>
      </c>
      <c r="K18" s="42" t="inlineStr">
        <is>
          <t>Uso de METHOD dentro del FB sin necesidad complica la estructura; comentarios no reflejan el comportamiento.</t>
        </is>
      </c>
      <c r="L18" s="42" t="inlineStr">
        <is>
          <t>Literales repetidos y arreglo forzado sin efecto.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A6-2630</t>
        </is>
      </c>
      <c r="B19" s="39" t="inlineStr">
        <is>
          <t>Compila. Pasa los 17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Compila sin cambios y usa R_TRIG estándar bien instanciado.</t>
        </is>
      </c>
      <c r="J19" s="42" t="inlineStr">
        <is>
          <t>Transiciones completas y robustas; la nota final justifica la anulación implícita de forzados.</t>
        </is>
      </c>
      <c r="K19" s="42" t="inlineStr">
        <is>
          <t>Comentarios útiles, incluida una nota que explica el porqué del diseño.</t>
        </is>
      </c>
      <c r="L19" s="42" t="inlineStr">
        <is>
          <t>Rango 0..7 y modos como literales.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A6-5020</t>
        </is>
      </c>
      <c r="B20" s="39" t="inlineStr">
        <is>
          <t>No compila (32 errores).</t>
        </is>
      </c>
      <c r="C20" s="40" t="n">
        <v>0</v>
      </c>
      <c r="D20" s="40" t="n">
        <v>0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modoActivo no se inicializa (arranca en 0 = automático) y los forzados no se anulan al salir de mantenimiento.</t>
        </is>
      </c>
      <c r="K20" s="42" t="inlineStr">
        <is>
          <t>Nombres claros y comentarios por bloque.</t>
        </is>
      </c>
      <c r="L20" s="42" t="inlineStr">
        <is>
          <t>Literales 0..7 y modos codificados; condición estadoSeguro duplicada.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A6-1266</t>
        </is>
      </c>
      <c r="B21" s="39" t="inlineStr">
        <is>
          <t>Compila. Pasa los 17 pasos del harness.</t>
        </is>
      </c>
      <c r="C21" s="40" t="n">
        <v>3</v>
      </c>
      <c r="D21" s="41" t="n">
        <v>2</v>
      </c>
      <c r="E21" s="41" t="n">
        <v>3</v>
      </c>
      <c r="F21" s="41" t="n">
        <v>1</v>
      </c>
      <c r="G21" s="41" t="n">
        <v>1</v>
      </c>
      <c r="H21" s="40">
        <f>IF(COUNT(C21:G21)=5,SUM(C21:G21),"")</f>
        <v/>
      </c>
      <c r="I21" s="42" t="inlineStr">
        <is>
          <t>Compila sin cambios con declaraciones correctas; flanco manual en lugar de R_TRIG.</t>
        </is>
      </c>
      <c r="J21" s="42" t="inlineStr">
        <is>
          <t>Apagado al entrar a mantenimiento y al perder seguridad; transiciones completas.</t>
        </is>
      </c>
      <c r="K21" s="42" t="inlineStr">
        <is>
          <t>Comentarios útiles en el cuerpo, pero entradas y salidas sin comentar.</t>
        </is>
      </c>
      <c r="L21" s="42" t="inlineStr">
        <is>
          <t>Literales 0..7 y modos sin constantes.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A6-3215</t>
        </is>
      </c>
      <c r="B22" s="39" t="inlineStr">
        <is>
          <t>No compila (22 errores).</t>
        </is>
      </c>
      <c r="C22" s="40" t="n">
        <v>0</v>
      </c>
      <c r="D22" s="40" t="n">
        <v>0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modoActivo sin inicializar (arranca en automático) y no apaga los actuadores al entrar a mantenimiento.</t>
        </is>
      </c>
      <c r="K22" s="42" t="inlineStr">
        <is>
          <t>Nombres descriptivos y comentarios adecuados.</t>
        </is>
      </c>
      <c r="L22" s="42" t="inlineStr">
        <is>
          <t>Literales repetidos; condición estadoSeguro duplicada.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A6-5385</t>
        </is>
      </c>
      <c r="B23" s="39" t="inlineStr">
        <is>
          <t>Compila. Falla 6 de 17 pasos del harness (pasos 6,7,8,9,10,15;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Modos y seguro correctos, pero al entrar en mantenimiento no apaga los actuadores (falla pasos 6-10 y 15).</t>
        </is>
      </c>
      <c r="J23" s="42" t="inlineStr">
        <is>
          <t>Transición de entrada a mantenimiento incompleta; rama ELSE de fallback inalcanzable.</t>
        </is>
      </c>
      <c r="K23" s="42" t="inlineStr">
        <is>
          <t>Secciones bien delimitadas con comentarios explicativos.</t>
        </is>
      </c>
      <c r="L23" s="42" t="inlineStr">
        <is>
          <t>Literales 0..7 y modos codificados.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A6-5870</t>
        </is>
      </c>
      <c r="B24" s="39" t="inlineStr">
        <is>
          <t>No compila (32 errores).</t>
        </is>
      </c>
      <c r="C24" s="40" t="n">
        <v>0</v>
      </c>
      <c r="D24" s="40" t="n">
        <v>0</v>
      </c>
      <c r="E24" s="41" t="n">
        <v>0</v>
      </c>
      <c r="F24" s="41" t="n">
        <v>1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La 'inicialización' se ejecuta cada scan: modo vuelve a manual sin seguro y la memoria de flanco se anula.</t>
        </is>
      </c>
      <c r="K24" s="42" t="inlineStr">
        <is>
          <t>Comentario de inicialización engañoso respecto al comportamiento real.</t>
        </is>
      </c>
      <c r="L24" s="42" t="inlineStr">
        <is>
          <t>Literales 0..7 y modos codificados.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A6-8625</t>
        </is>
      </c>
      <c r="B25" s="39" t="inlineStr">
        <is>
          <t>Compila. Pasa los 17 pasos del harness.</t>
        </is>
      </c>
      <c r="C25" s="40" t="n">
        <v>3</v>
      </c>
      <c r="D25" s="41" t="n">
        <v>2</v>
      </c>
      <c r="E25" s="41" t="n">
        <v>3</v>
      </c>
      <c r="F25" s="41" t="n">
        <v>1</v>
      </c>
      <c r="G25" s="41" t="n">
        <v>1</v>
      </c>
      <c r="H25" s="40">
        <f>IF(COUNT(C25:G25)=5,SUM(C25:G25),"")</f>
        <v/>
      </c>
      <c r="I25" s="42" t="inlineStr">
        <is>
          <t>Compila sin cambios con tipos correctos; flanco manual en lugar de R_TRIG.</t>
        </is>
      </c>
      <c r="J25" s="42" t="inlineStr">
        <is>
          <t>Apagado al entrar y al perder seguridad; transiciones completas sin estados muertos.</t>
        </is>
      </c>
      <c r="K25" s="42" t="inlineStr">
        <is>
          <t>Pasos numerados en el cuerpo, pero declaraciones de E/S sin comentarios.</t>
        </is>
      </c>
      <c r="L25" s="42" t="inlineStr">
        <is>
          <t>Literales 0..7 y modos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A6-4100</t>
        </is>
      </c>
      <c r="B26" s="39" t="inlineStr">
        <is>
          <t>No compila (1 errores).</t>
        </is>
      </c>
      <c r="C26" s="40" t="n">
        <v>0</v>
      </c>
      <c r="D26" s="40" t="n">
        <v>0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METHOD nunca invocado; modo sigue al selector sin seguro y el bloque final apaga actuadores en auto/manual, contradiciendo la especificación.</t>
        </is>
      </c>
      <c r="K26" s="42" t="inlineStr">
        <is>
          <t>Estructura con METHOD innecesario y cuerpo del FB vacío.</t>
        </is>
      </c>
      <c r="L26" s="42" t="inlineStr">
        <is>
          <t>Literales repetidos y variables sin uso.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A6-4942</t>
        </is>
      </c>
      <c r="B27" s="39" t="inlineStr">
        <is>
          <t>No compila (36 errores).</t>
        </is>
      </c>
      <c r="C27" s="40" t="n">
        <v>0</v>
      </c>
      <c r="D27" s="40" t="n">
        <v>0</v>
      </c>
      <c r="E27" s="41" t="n">
        <v>0</v>
      </c>
      <c r="F27" s="41" t="n">
        <v>1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Mantenimiento apaga todo cada scan y fuerza por nivel sin conservar; asignación modoVigente := modoVigente sin efecto.</t>
        </is>
      </c>
      <c r="K27" s="42" t="inlineStr">
        <is>
          <t>Bloque redundante con comentario engañoso; resto comentado.</t>
        </is>
      </c>
      <c r="L27" s="42" t="inlineStr">
        <is>
          <t>Literales repetidos y arreglo forzado sin uso.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A6-1659</t>
        </is>
      </c>
      <c r="B28" s="39" t="inlineStr">
        <is>
          <t>No compila (34 errores).</t>
        </is>
      </c>
      <c r="C28" s="40" t="n">
        <v>0</v>
      </c>
      <c r="D28" s="40" t="n">
        <v>0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Mantenimiento apaga todo cada scan y fuerza por nivel sin conservar el forzado; arreglo forzado sin efecto.</t>
        </is>
      </c>
      <c r="K28" s="42" t="inlineStr">
        <is>
          <t>Nombres aceptables y comentarios breves por sección.</t>
        </is>
      </c>
      <c r="L28" s="42" t="inlineStr">
        <is>
          <t>Literales repetidos; arreglo de forzados inútil.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A6-6945</t>
        </is>
      </c>
      <c r="B29" s="39" t="inlineStr">
        <is>
          <t>Compila. Falla 6 de 17 pasos del harness (pasos 6,7,8,9,10,15; numerados desde 0).</t>
        </is>
      </c>
      <c r="C29" s="41" t="n">
        <v>1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Modos, pendiente y seguro correctos, pero no apaga los actuadores al entrar en mantenimiento (falla pasos 6-10 y 15).</t>
        </is>
      </c>
      <c r="J29" s="42" t="inlineStr">
        <is>
          <t>Mecanismo de pendiente redundante y transición de entrada a mantenimiento incompleta.</t>
        </is>
      </c>
      <c r="K29" s="42" t="inlineStr">
        <is>
          <t>Secciones muy delimitadas con comentarios explicativos.</t>
        </is>
      </c>
      <c r="L29" s="42" t="inlineStr">
        <is>
          <t>Literales 0..7 y modos repetidos; lógica de salida de mantenimiento duplicada.</t>
        </is>
      </c>
      <c r="M29" s="42" t="n"/>
      <c r="N29" s="40">
        <f>IF(COUNT(C29:G29)=5,"Completa","Falta")</f>
        <v/>
      </c>
    </row>
    <row r="30"/>
  </sheetData>
  <dataValidations count="3">
    <dataValidation sqref="C16 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9 D11 D13:D17 D19 D21 D23 D25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C3 — Conversión Ladder a ST (Complementaria)</t>
        </is>
      </c>
    </row>
    <row r="2" ht="15" customHeight="1" s="22">
      <c r="A2" s="33" t="inlineStr">
        <is>
          <t>Lee cada respuesta por su código en respuestas/Respuestas_C3.html.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C3-2896</t>
        </is>
      </c>
      <c r="B6" s="39" t="inlineStr">
        <is>
          <t>Compila sola, pero no se pudo simular: declara las entradas donde el harness no puede escribirlas ('btnMarcha' no es ninguna entrada de 'PRG_Conversion').</t>
        </is>
      </c>
      <c r="C6" s="41" t="n">
        <v>2</v>
      </c>
      <c r="D6" s="41" t="n">
        <v>2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Func 2: traducción correcta del Ladder, pero las E/S son VAR locales y no reciben señales externas (no simulable); IEC 2: compila con tipos correctos, sin VAR_INPUT/VAR_OUTPUT pedidos.</t>
        </is>
      </c>
      <c r="J6" s="42" t="inlineStr">
        <is>
          <t>Enclavamiento y TON coherentes, pero las 'entradas' son locales sin fuente externa, por lo que la interfaz no corresponde a su rol. Rama 1 escrita con IF/ELSE redundante.</t>
        </is>
      </c>
      <c r="K6" s="42" t="inlineStr">
        <is>
          <t>Nombres claros y comentarios que indican el rol de cada variable, pero sin separación E/S real (todo en VAR).</t>
        </is>
      </c>
      <c r="L6" s="42" t="inlineStr">
        <is>
          <t>Preset T#10S en un único punto y sin duplicación; cambios localizados (literal exigido por el enunciado).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C3-6882</t>
        </is>
      </c>
      <c r="B7" s="39" t="inlineStr">
        <is>
          <t>Compila sola, pero no se pudo simular: declara las entradas donde el harness no puede escribirlas ('btnMarcha' no es ninguna entrada de 'PRG_Conversion').</t>
        </is>
      </c>
      <c r="C7" s="41" t="n">
        <v>2</v>
      </c>
      <c r="D7" s="41" t="n">
        <v>2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 2: traducción correcta del Ladder, pero las E/S son VAR locales y no reciben señales externas (no simulable); IEC 2: compila con tipos correctos, sin VAR_INPUT/VAR_OUTPUT pedidos.</t>
        </is>
      </c>
      <c r="J7" s="42" t="inlineStr">
        <is>
          <t>Enclavamiento y TON coherentes, pero las 'entradas' son locales sin fuente externa, por lo que la interfaz no corresponde a su rol.</t>
        </is>
      </c>
      <c r="K7" s="42" t="inlineStr">
        <is>
          <t>Nombres claros y comentarios que indican el rol de cada variable, pero sin separación E/S real (todo en VAR).</t>
        </is>
      </c>
      <c r="L7" s="42" t="inlineStr">
        <is>
          <t>Preset T#10S en un único punto y sin duplicación; cambios localizados (literal exigido por el enunciado).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C3-5764</t>
        </is>
      </c>
      <c r="B8" s="39" t="inlineStr">
        <is>
          <t>Compila. Pasa los 11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IEC 3: compila; PROGRAM con VAR_INPUT/VAR_OUTPUT, TON instanciado y llamado una vez por ciclo con IN/PT y literal T#10S.</t>
        </is>
      </c>
      <c r="J8" s="42" t="inlineStr">
        <is>
          <t>Enclavamiento con paro NC en serie (prioridad del paro ante pulsación simultánea) y TON llamado incondicionalmente: traducción robusta sin estados muertos.</t>
        </is>
      </c>
      <c r="K8" s="42" t="inlineStr">
        <is>
          <t>Secciones por rama y comentarios que explican el porqué de la traducción (NC→NOT, paralelo→OR, enclavamiento/reinicio del TON).</t>
        </is>
      </c>
      <c r="L8" s="42" t="inlineStr">
        <is>
          <t>Preset T#10S en un único punto y sin duplicación; cambios localizados (literal exigido por el enunciado).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C3-5896</t>
        </is>
      </c>
      <c r="B9" s="39" t="inlineStr">
        <is>
          <t>Compila. Pasa los 11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IEC 3: compila; PROGRAM con VAR_INPUT/VAR_OUTPUT, TON instanciado y llamado una vez por ciclo con IN/PT y literal T#10S.</t>
        </is>
      </c>
      <c r="J9" s="42" t="inlineStr">
        <is>
          <t>Enclavamiento con paro NC en serie (prioridad del paro ante pulsación simultánea) y TON llamado incondicionalmente: traducción robusta sin estados muertos.</t>
        </is>
      </c>
      <c r="K9" s="42" t="inlineStr">
        <is>
          <t>Secciones por rama y comentarios que explican el porqué de la traducción (NC→NOT, paralelo→OR, enclavamiento/reinicio del TON).</t>
        </is>
      </c>
      <c r="L9" s="42" t="inlineStr">
        <is>
          <t>Preset T#10S en un único punto y sin duplicación; cambios localizados (literal exigido por el enunciado).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C3-2206</t>
        </is>
      </c>
      <c r="B10" s="39" t="inlineStr">
        <is>
          <t>Compila. Pasa los 11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 3: compila; PROGRAM con VAR_INPUT/VAR_OUTPUT, TON instanciado y llamado una vez por ciclo con IN/PT y literal T#10S.</t>
        </is>
      </c>
      <c r="J10" s="42" t="inlineStr">
        <is>
          <t>Enclavamiento con paro NC en serie (prioridad del paro ante pulsación simultánea) y TON llamado incondicionalmente: traducción robusta sin estados muertos.</t>
        </is>
      </c>
      <c r="K10" s="42" t="inlineStr">
        <is>
          <t>Nombres del enunciado, secciones por rama y comentarios útiles que describen qué hace cada rama.</t>
        </is>
      </c>
      <c r="L10" s="42" t="inlineStr">
        <is>
          <t>Preset T#10S en un único punto y sin duplicación; cambios localizados (literal exigido por el enunciado).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C3-8154</t>
        </is>
      </c>
      <c r="B11" s="39" t="inlineStr">
        <is>
          <t>Compila. Pasa los 11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IEC 3: compila; PROGRAM con VAR_INPUT/VAR_OUTPUT, TON instanciado y llamado una vez por ciclo con IN/PT y literal T#10S.</t>
        </is>
      </c>
      <c r="J11" s="42" t="inlineStr">
        <is>
          <t>Enclavamiento con paro NC en serie (prioridad del paro ante pulsación simultánea) y TON llamado incondicionalmente: traducción robusta sin estados muertos.</t>
        </is>
      </c>
      <c r="K11" s="42" t="inlineStr">
        <is>
          <t>Secciones por rama y comentarios que explican el porqué de la traducción (NC→NOT, paralelo→OR, enclavamiento/reinicio del TON).</t>
        </is>
      </c>
      <c r="L11" s="42" t="inlineStr">
        <is>
          <t>Preset T#10S en un único punto y sin duplicación; cambios localizados (literal exigido por el enunciado).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C3-6261</t>
        </is>
      </c>
      <c r="B12" s="39" t="inlineStr">
        <is>
          <t>Compila. Pasa los 11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IEC 3: compila; PROGRAM con VAR_INPUT/VAR_OUTPUT, TON instanciado y llamado una vez por ciclo con IN/PT y literal T#10S.</t>
        </is>
      </c>
      <c r="J12" s="42" t="inlineStr">
        <is>
          <t>Enclavamiento con paro NC en serie (prioridad del paro ante pulsación simultánea) y TON llamado incondicionalmente: traducción robusta sin estados muertos.</t>
        </is>
      </c>
      <c r="K12" s="42" t="inlineStr">
        <is>
          <t>Secciones por rama y comentarios que explican el porqué de la traducción (NC→NOT, paralelo→OR, enclavamiento/reinicio del TON).</t>
        </is>
      </c>
      <c r="L12" s="42" t="inlineStr">
        <is>
          <t>Preset T#10S en un único punto y sin duplicación; cambios localizados (literal exigido por el enunciado).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C3-3977</t>
        </is>
      </c>
      <c r="B13" s="39" t="inlineStr">
        <is>
          <t>Compila sola, pero no se pudo simular: declara las entradas donde el harness no puede escribirlas ('btnMarcha' no es ninguna entrada de 'PRG_Conversion').</t>
        </is>
      </c>
      <c r="C13" s="41" t="n">
        <v>0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 0: omite el NOT del contacto NC (motor := ... AND btnParo), el motor solo arranca con paro pulsado; falla el caso nominal. IEC 2: compila, tipos correctos, sin VAR_INPUT/VAR_OUTPUT.</t>
        </is>
      </c>
      <c r="J13" s="42" t="inlineStr">
        <is>
          <t>Paro invertido: con btnParo en reposo el motor nunca arranca, y el TON se invoca duplicado en ramas IF.</t>
        </is>
      </c>
      <c r="K13" s="42" t="inlineStr">
        <is>
          <t>Nombres claros y comentarios por rama, aunque el comentario de la rama 1 no refleja el contacto NC.</t>
        </is>
      </c>
      <c r="L13" s="42" t="inlineStr">
        <is>
          <t>Llamada al TON duplicada en ramas IF con PT solo en una; modificar el temporizador exige tocar varias líneas.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C3-3323</t>
        </is>
      </c>
      <c r="B14" s="39" t="inlineStr">
        <is>
          <t>Compila. Pasa los 11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 3: compila; PROGRAM con VAR_INPUT/VAR_OUTPUT, TON instanciado y llamado una vez por ciclo con IN/PT y literal T#10S.</t>
        </is>
      </c>
      <c r="J14" s="42" t="inlineStr">
        <is>
          <t>Enclavamiento con paro NC en serie (prioridad del paro ante pulsación simultánea) y TON llamado incondicionalmente: traducción robusta sin estados muertos.</t>
        </is>
      </c>
      <c r="K14" s="42" t="inlineStr">
        <is>
          <t>Nombres del enunciado, secciones por rama y comentarios útiles que describen qué hace cada rama.</t>
        </is>
      </c>
      <c r="L14" s="42" t="inlineStr">
        <is>
          <t>Preset T#10S en un único punto y sin duplicación; cambios localizados (literal exigido por el enunciado).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C3-8076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3: compila; PROGRAM con VAR_INPUT/VAR_OUTPUT, TON instanciado y llamado una vez por ciclo con IN/PT y literal T#10S.</t>
        </is>
      </c>
      <c r="J15" s="42" t="inlineStr">
        <is>
          <t>Enclavamiento con paro NC en serie (prioridad del paro ante pulsación simultánea) y TON llamado incondicionalmente: traducción robusta sin estados muertos.</t>
        </is>
      </c>
      <c r="K15" s="42" t="inlineStr">
        <is>
          <t>Nombres del enunciado, secciones por rama y comentarios útiles que describen qué hace cada rama.</t>
        </is>
      </c>
      <c r="L15" s="42" t="inlineStr">
        <is>
          <t>Preset T#10S en un único punto y sin duplicación; cambios localizados (literal exigido por el enunciado).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C3-1695</t>
        </is>
      </c>
      <c r="B16" s="39" t="inlineStr">
        <is>
          <t>Compila. Pasa los 11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IEC 3: compila; PROGRAM con VAR_INPUT/VAR_OUTPUT, TON instanciado y llamado una vez por ciclo con IN/PT y literal T#10S.</t>
        </is>
      </c>
      <c r="J16" s="42" t="inlineStr">
        <is>
          <t>Enclavamiento con paro NC en serie (prioridad del paro ante pulsación simultánea) y TON llamado incondicionalmente: traducción robusta sin estados muertos.</t>
        </is>
      </c>
      <c r="K16" s="42" t="inlineStr">
        <is>
          <t>Secciones por rama y comentarios que explican el porqué de la traducción (NC→NOT, paralelo→OR, enclavamiento/reinicio del TON).</t>
        </is>
      </c>
      <c r="L16" s="42" t="inlineStr">
        <is>
          <t>Preset T#10S en un único punto y sin duplicación; cambios localizados (literal exigido por el enunciado).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C3-2623</t>
        </is>
      </c>
      <c r="B17" s="39" t="inlineStr">
        <is>
          <t>Compila sola, pero no se pudo simular: declara las entradas donde el harness no puede escribirlas ('btnMarcha' no es ninguna entrada de 'PRG_Conversion').</t>
        </is>
      </c>
      <c r="C17" s="41" t="n">
        <v>2</v>
      </c>
      <c r="D17" s="41" t="n">
        <v>2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Func 2: traducción correcta del Ladder, pero las E/S son VAR locales y no reciben señales externas (no simulable); IEC 2: compila con tipos correctos, sin VAR_INPUT/VAR_OUTPUT pedidos.</t>
        </is>
      </c>
      <c r="J17" s="42" t="inlineStr">
        <is>
          <t>Enclavamiento y TON coherentes, pero las 'entradas' son locales sin fuente externa, por lo que la interfaz no corresponde a su rol. Rama 1 escrita con IF/ELSE redundante.</t>
        </is>
      </c>
      <c r="K17" s="42" t="inlineStr">
        <is>
          <t>Nombres claros y comentarios que indican el rol de cada variable, pero sin separación E/S real (todo en VAR).</t>
        </is>
      </c>
      <c r="L17" s="42" t="inlineStr">
        <is>
          <t>Preset T#10S en un único punto y sin duplicación; cambios localizados (literal exigido por el enunciado).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C3-8055</t>
        </is>
      </c>
      <c r="B18" s="39" t="inlineStr">
        <is>
          <t>Compila. Pasa los 11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3: compila; PROGRAM con VAR_INPUT/VAR_OUTPUT, TON instanciado y llamado una vez por ciclo con IN/PT y literal T#10S.</t>
        </is>
      </c>
      <c r="J18" s="42" t="inlineStr">
        <is>
          <t>Enclavamiento con paro NC en serie (prioridad del paro ante pulsación simultánea) y TON llamado incondicionalmente: traducción robusta sin estados muertos.</t>
        </is>
      </c>
      <c r="K18" s="42" t="inlineStr">
        <is>
          <t>Nombres del enunciado, secciones por rama y comentarios útiles que describen qué hace cada rama.</t>
        </is>
      </c>
      <c r="L18" s="42" t="inlineStr">
        <is>
          <t>Preset T#10S en un único punto y sin duplicación; cambios localizados (literal exigido por el enunciado).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C3-2360</t>
        </is>
      </c>
      <c r="B19" s="39" t="inlineStr">
        <is>
          <t>Compila. Pasa los 11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IEC 3: compila; PROGRAM con VAR_INPUT/VAR_OUTPUT, TON instanciado y llamado una vez por ciclo con IN/PT y literal T#10S.</t>
        </is>
      </c>
      <c r="J19" s="42" t="inlineStr">
        <is>
          <t>Enclavamiento con paro NC en serie (prioridad del paro ante pulsación simultánea) y TON llamado incondicionalmente: traducción robusta sin estados muertos.</t>
        </is>
      </c>
      <c r="K19" s="42" t="inlineStr">
        <is>
          <t>Secciones por rama y comentarios que explican el porqué de la traducción (NC→NOT, paralelo→OR, enclavamiento/reinicio del TON).</t>
        </is>
      </c>
      <c r="L19" s="42" t="inlineStr">
        <is>
          <t>Preset T#10S en un único punto y sin duplicación; cambios localizados (literal exigido por el enunciado).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C3-9536</t>
        </is>
      </c>
      <c r="B20" s="39" t="inlineStr">
        <is>
          <t>Compila. Pasa los 11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IEC 3: compila; PROGRAM con VAR_INPUT/VAR_OUTPUT, TON instanciado y llamado una vez por ciclo con IN/PT y literal T#10S.</t>
        </is>
      </c>
      <c r="J20" s="42" t="inlineStr">
        <is>
          <t>Enclavamiento con paro NC en serie (prioridad del paro ante pulsación simultánea) y TON llamado incondicionalmente: traducción robusta sin estados muertos.</t>
        </is>
      </c>
      <c r="K20" s="42" t="inlineStr">
        <is>
          <t>Secciones por rama y comentarios que explican el porqué de la traducción (NC→NOT, paralelo→OR, enclavamiento/reinicio del TON).</t>
        </is>
      </c>
      <c r="L20" s="42" t="inlineStr">
        <is>
          <t>Preset T#10S en un único punto y sin duplicación; cambios localizados (literal exigido por el enunciado).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C3-2155</t>
        </is>
      </c>
      <c r="B21" s="39" t="inlineStr">
        <is>
          <t>Compila sola, pero no se pudo simular: declara las entradas donde el harness no puede escribirlas ('btnMarcha' no es ninguna entrada de 'PRG_Conversion').</t>
        </is>
      </c>
      <c r="C21" s="41" t="n">
        <v>2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 2: traducción correcta del Ladder, pero las E/S son VAR locales y no reciben señales externas (no simulable); IEC 2: compila con tipos correctos, sin VAR_INPUT/VAR_OUTPUT pedidos.</t>
        </is>
      </c>
      <c r="J21" s="42" t="inlineStr">
        <is>
          <t>Enclavamiento y TON coherentes, pero las 'entradas' son locales sin fuente externa, por lo que la interfaz no corresponde a su rol.</t>
        </is>
      </c>
      <c r="K21" s="42" t="inlineStr">
        <is>
          <t>Nombres claros y comentarios que indican el rol de cada variable, pero sin separación E/S real (todo en VAR).</t>
        </is>
      </c>
      <c r="L21" s="42" t="inlineStr">
        <is>
          <t>Preset T#10S en un único punto y sin duplicación; cambios localizados (literal exigido por el enunciado).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C3-1446</t>
        </is>
      </c>
      <c r="B22" s="39" t="inlineStr">
        <is>
          <t>Compila. Pasa los 11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IEC 3: compila; PROGRAM con VAR_INPUT/VAR_OUTPUT, TON instanciado y llamado una vez por ciclo con IN/PT y literal T#10S.</t>
        </is>
      </c>
      <c r="J22" s="42" t="inlineStr">
        <is>
          <t>Enclavamiento con paro NC en serie (prioridad del paro ante pulsación simultánea) y TON llamado incondicionalmente: traducción robusta sin estados muertos.</t>
        </is>
      </c>
      <c r="K22" s="42" t="inlineStr">
        <is>
          <t>Nombres del enunciado, secciones por rama y comentarios útiles que describen qué hace cada rama.</t>
        </is>
      </c>
      <c r="L22" s="42" t="inlineStr">
        <is>
          <t>Preset T#10S en un único punto y sin duplicación; cambios localizados (literal exigido por el enunciado).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C3-8015</t>
        </is>
      </c>
      <c r="B23" s="39" t="inlineStr">
        <is>
          <t>Compila. Pasa los 11 pasos del harness.</t>
        </is>
      </c>
      <c r="C23" s="40" t="n">
        <v>3</v>
      </c>
      <c r="D23" s="41" t="n">
        <v>2</v>
      </c>
      <c r="E23" s="41" t="n">
        <v>2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IEC 2: compila con tipos correctos, pero llama al TON en ramas IF con IN constante en lugar de IN := motor (poco idiomático).</t>
        </is>
      </c>
      <c r="J23" s="42" t="inlineStr">
        <is>
          <t>Comportamiento correcto (TON se ejecuta en ambas ramas), pero el IF es redundante respecto a IN := motor.</t>
        </is>
      </c>
      <c r="K23" s="42" t="inlineStr">
        <is>
          <t>Comentarios por rama fieles al Ladder, aunque los de declaración son mínimos ('Bobina', 'Temporizador').</t>
        </is>
      </c>
      <c r="L23" s="42" t="inlineStr">
        <is>
          <t>Llamada al TON duplicada en ramas IF con PT solo en una; modificar el temporizador exige tocar varias líneas.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C3-9667</t>
        </is>
      </c>
      <c r="B24" s="39" t="inlineStr">
        <is>
          <t>Compila sola, pero no se pudo simular: declara las entradas donde el harness no puede escribirlas ('btnMarcha' no es ninguna entrada de 'PRG_Conversion').</t>
        </is>
      </c>
      <c r="C24" s="41" t="n">
        <v>0</v>
      </c>
      <c r="D24" s="41" t="n">
        <v>2</v>
      </c>
      <c r="E24" s="41" t="n">
        <v>1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Func 0: omite el NOT del contacto NC (motor := ... AND btnParo), el motor solo arranca con paro pulsado; falla el caso nominal. IEC 2: compila, tipos correctos, sin VAR_INPUT/VAR_OUTPUT.</t>
        </is>
      </c>
      <c r="J24" s="42" t="inlineStr">
        <is>
          <t>Paro invertido: con btnParo en reposo el motor nunca arranca, y el TON se invoca duplicado en ramas IF.</t>
        </is>
      </c>
      <c r="K24" s="42" t="inlineStr">
        <is>
          <t>Comentario 'btnMarcha OR motor AND btnParo' es incorrecto (precedencia y NC omitidos); declaraciones agrupadas sin detalle.</t>
        </is>
      </c>
      <c r="L24" s="42" t="inlineStr">
        <is>
          <t>Llamada al TON duplicada en ramas IF con PT solo en una; modificar el temporizador exige tocar varias líneas.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C3-1285</t>
        </is>
      </c>
      <c r="B25" s="39" t="inlineStr">
        <is>
          <t>Compila. Falla 2 de 11 pasos del harness (pasos 3,9; numerados desde 0).</t>
        </is>
      </c>
      <c r="C25" s="41" t="n">
        <v>0</v>
      </c>
      <c r="D25" s="41" t="n">
        <v>2</v>
      </c>
      <c r="E25" s="41" t="n">
        <v>0</v>
      </c>
      <c r="F25" s="41" t="n">
        <v>1</v>
      </c>
      <c r="G25" s="41" t="n">
        <v>1</v>
      </c>
      <c r="H25" s="40">
        <f>IF(COUNT(C25:G25)=5,SUM(C25:G25),"")</f>
        <v/>
      </c>
      <c r="I25" s="42" t="inlineStr">
        <is>
          <t>Func 0: el bloque inicial llama T1 con IN:=FALSE cada ciclo mientras Q es FALSE, reiniciando el temporizador; la lámpara nunca enciende (falla pasos 3 y 9, caso nominal de la rama 3). IEC 2: compila, pero múltiples llamadas al TON por ciclo.</t>
        </is>
      </c>
      <c r="J25" s="42" t="inlineStr">
        <is>
          <t>Condición contradictoria: el reinicio forzado del TON en cada ciclo impide que alcance PT, dejando la rama de la lámpara muerta.</t>
        </is>
      </c>
      <c r="K25" s="42" t="inlineStr">
        <is>
          <t>Comentario 'Inicialización del temporizador' describe incorrectamente un bloque que lo reinicia cada ciclo; comentarios de declaración mínimos.</t>
        </is>
      </c>
      <c r="L25" s="42" t="inlineStr">
        <is>
          <t>TON invocado en tres puntos con PT separado de IN; corregirlo exige reestructurar la rama 2.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C3-2752</t>
        </is>
      </c>
      <c r="B26" s="39" t="inlineStr">
        <is>
          <t>Compila. Falla 2 de 11 pasos del harness (pasos 3,9;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Func 0: el bloque inicial llama T1 con IN:=FALSE cada ciclo mientras Q es FALSE, reiniciando el temporizador; la lámpara nunca enciende (falla pasos 3 y 9, caso nominal de la rama 3). IEC 2: compila, pero múltiples llamadas al TON por ciclo.</t>
        </is>
      </c>
      <c r="J26" s="42" t="inlineStr">
        <is>
          <t>Condición contradictoria: el reinicio forzado del TON en cada ciclo impide que alcance PT, dejando la rama de la lámpara muerta.</t>
        </is>
      </c>
      <c r="K26" s="42" t="inlineStr">
        <is>
          <t>Comentario 'Inicialización del temporizador' describe incorrectamente un bloque que lo reinicia cada ciclo; comentarios de declaración mínimos.</t>
        </is>
      </c>
      <c r="L26" s="42" t="inlineStr">
        <is>
          <t>TON invocado en tres puntos con PT separado de IN; corregirlo exige reestructurar la rama 2.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C3-4158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 3: compila; PROGRAM con VAR_INPUT/VAR_OUTPUT, TON instanciado y llamado una vez por ciclo con IN/PT y literal T#10S.</t>
        </is>
      </c>
      <c r="J27" s="42" t="inlineStr">
        <is>
          <t>Enclavamiento con paro NC en serie (prioridad del paro ante pulsación simultánea) y TON llamado incondicionalmente: traducción robusta sin estados muertos.</t>
        </is>
      </c>
      <c r="K27" s="42" t="inlineStr">
        <is>
          <t>Nombres del enunciado, secciones por rama y comentarios útiles que describen qué hace cada rama.</t>
        </is>
      </c>
      <c r="L27" s="42" t="inlineStr">
        <is>
          <t>Preset T#10S en un único punto y sin duplicación; cambios localizados (literal exigido por el enunciado).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C3-1088</t>
        </is>
      </c>
      <c r="B28" s="39" t="inlineStr">
        <is>
          <t>Compila sola, pero no se pudo simular: declara las entradas donde el harness no puede escribirlas ('btnMarcha' no es ninguna entrada de 'PRG_Conversion').</t>
        </is>
      </c>
      <c r="C28" s="41" t="n">
        <v>2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 2: traducción correcta del Ladder, pero las E/S son VAR locales y no reciben señales externas (no simulable); IEC 2: compila con tipos correctos, sin VAR_INPUT/VAR_OUTPUT pedidos.</t>
        </is>
      </c>
      <c r="J28" s="42" t="inlineStr">
        <is>
          <t>Enclavamiento y TON coherentes, pero las 'entradas' son locales sin fuente externa, por lo que la interfaz no corresponde a su rol.</t>
        </is>
      </c>
      <c r="K28" s="42" t="inlineStr">
        <is>
          <t>Nombres claros y comentarios que indican el rol de cada variable, pero sin separación E/S real (todo en VAR).</t>
        </is>
      </c>
      <c r="L28" s="42" t="inlineStr">
        <is>
          <t>Preset T#10S en un único punto y sin duplicación; cambios localizados (literal exigido por el enunciado).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C3-5466</t>
        </is>
      </c>
      <c r="B29" s="39" t="inlineStr">
        <is>
          <t>Compila sola, pero no se pudo simular: declara las entradas donde el harness no puede escribirlas ('btnMarcha' no es ninguna entrada de 'PRG_Conversion').</t>
        </is>
      </c>
      <c r="C29" s="41" t="n">
        <v>0</v>
      </c>
      <c r="D29" s="41" t="n">
        <v>2</v>
      </c>
      <c r="E29" s="41" t="n">
        <v>1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Func 0: omite el NOT del contacto NC (motor := ... AND btnParo), el motor solo arranca con paro pulsado; falla el caso nominal. IEC 2: compila, tipos correctos, sin VAR_INPUT/VAR_OUTPUT.</t>
        </is>
      </c>
      <c r="J29" s="42" t="inlineStr">
        <is>
          <t>Paro invertido: con btnParo en reposo el motor nunca arranca, y el TON se invoca duplicado en ramas IF.</t>
        </is>
      </c>
      <c r="K29" s="42" t="inlineStr">
        <is>
          <t>Comentario 'btnMarcha OR motor AND btnParo' es incorrecto (precedencia y NC omitidos); declaraciones agrupadas sin detalle.</t>
        </is>
      </c>
      <c r="L29" s="42" t="inlineStr">
        <is>
          <t>Llamada al TON duplicada en ramas IF con PT solo en una; modificar el temporizador exige tocar varias líneas.</t>
        </is>
      </c>
      <c r="M29" s="42" t="n"/>
      <c r="N29" s="40">
        <f>IF(COUNT(C29:G29)=5,"Completa","Falta")</f>
        <v/>
      </c>
    </row>
    <row r="30"/>
  </sheetData>
  <dataValidations count="3">
    <dataValidation sqref="C6:C7 C13 C17 C21 C24:C26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C7 — Conversión Ladder a ST — contador con preset (Complementaria)</t>
        </is>
      </c>
    </row>
    <row r="2" ht="15" customHeight="1" s="22">
      <c r="A2" s="33" t="inlineStr">
        <is>
          <t>Lee cada respuesta por su código en respuestas/Respuestas_C7.html.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C7-2387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2: compila con CTU estándar bien instanciado, pero asigna C1.PV fuera de la llamada en lugar de pasarlo como parámetro formal; menos idiomático.</t>
        </is>
      </c>
      <c r="J6" s="42" t="inlineStr">
        <is>
          <t>Mapeo fiel de las tres ramas; PV asignado antes de la llamada, sin efecto adverso.</t>
        </is>
      </c>
      <c r="K6" s="42" t="inlineStr">
        <is>
          <t>Comentarios por rama que siguen la red Ladder y nombres del enunciado.</t>
        </is>
      </c>
      <c r="L6" s="42" t="inlineStr">
        <is>
          <t>Cambios localizados; PV fijado en una línea propia, sin constante declarada.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C7-3786</t>
        </is>
      </c>
      <c r="B7" s="39" t="inlineStr">
        <is>
          <t>No compila (6 errores).</t>
        </is>
      </c>
      <c r="C7" s="40" t="n">
        <v>0</v>
      </c>
      <c r="D7" s="40" t="n">
        <v>0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39" t="inlineStr"/>
      <c r="J7" s="42" t="inlineStr">
        <is>
          <t>Lógica de traducción correcta y completa; el error es solo de nombre de parámetro (R en lugar de RESET), que no afecta la coherencia.</t>
        </is>
      </c>
      <c r="K7" s="42" t="inlineStr">
        <is>
          <t>Bloques de comentario por rama muy claros, con el mapeo de cada pin.</t>
        </is>
      </c>
      <c r="L7" s="42" t="inlineStr">
        <is>
          <t>Llamada única y localizada; PV literal 12 sin constante.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C7-5127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 3: compila e instancia el CTU estándar con llamada formal (CU, RESET, PV) en un solo punto, traducción idiomática de la red Ladder.</t>
        </is>
      </c>
      <c r="J8" s="42" t="inlineStr">
        <is>
          <t>Traducción directa y fiel de las tres ramas, sin redundancias ni dependencias de orden problemáticas.</t>
        </is>
      </c>
      <c r="K8" s="42" t="inlineStr">
        <is>
          <t>Nombres del enunciado y comentarios útiles; el primer comentario rotula la llamada cíclica como 'inicialización'.</t>
        </is>
      </c>
      <c r="L8" s="42" t="inlineStr">
        <is>
          <t>Código mínimo y localizado; PV literal 12 en la llamada, como en la red original, sin constante declarada.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C7-4283</t>
        </is>
      </c>
      <c r="B9" s="39" t="inlineStr">
        <is>
          <t>Compila. Pasa los 7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2: compila con CTU estándar bien instanciado, pero asigna C1.PV fuera de la llamada en lugar de pasarlo como parámetro formal; menos idiomático.</t>
        </is>
      </c>
      <c r="J9" s="42" t="inlineStr">
        <is>
          <t>Mapeo fiel de las tres ramas; PV asignado antes de la llamada, sin efecto adverso.</t>
        </is>
      </c>
      <c r="K9" s="42" t="inlineStr">
        <is>
          <t>Comentarios por rama que siguen la red Ladder y nombres del enunciado.</t>
        </is>
      </c>
      <c r="L9" s="42" t="inlineStr">
        <is>
          <t>Cambios localizados; PV fijado en una línea propia, sin constante declarada.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C7-5811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 3: compila e instancia el CTU estándar con llamada formal (CU, RESET, PV) en un solo punto, traducción idiomática de la red Ladder.</t>
        </is>
      </c>
      <c r="J10" s="42" t="inlineStr">
        <is>
          <t>Traducción directa y fiel de las tres ramas, sin redundancias ni dependencias de orden problemáticas.</t>
        </is>
      </c>
      <c r="K10" s="42" t="inlineStr">
        <is>
          <t>Nombres del enunciado y comentarios que relacionan cada línea con su rama Ladder.</t>
        </is>
      </c>
      <c r="L10" s="42" t="inlineStr">
        <is>
          <t>Código mínimo y localizado; PV literal 12 en la llamada, como en la red original, sin constante declarada.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C7-2960</t>
        </is>
      </c>
      <c r="B11" s="39" t="inlineStr">
        <is>
          <t>Compila. Pasa los 7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3: compila e instancia el CTU estándar con llamada formal (CU, RESET, PV) en un solo punto, traducción idiomática de la red Ladder.</t>
        </is>
      </c>
      <c r="J11" s="42" t="inlineStr">
        <is>
          <t>Traducción directa y fiel de las tres ramas, sin redundancias ni dependencias de orden problemáticas.</t>
        </is>
      </c>
      <c r="K11" s="42" t="inlineStr">
        <is>
          <t>Nombres del enunciado y comentarios que relacionan cada línea con su rama Ladder.</t>
        </is>
      </c>
      <c r="L11" s="42" t="inlineStr">
        <is>
          <t>Código mínimo y localizado; PV literal 12 en la llamada, como en la red original, sin constante declarada.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C7-2343</t>
        </is>
      </c>
      <c r="B12" s="39" t="inlineStr">
        <is>
          <t>Compila. Pasa los 7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3: compila e instancia el CTU estándar con llamada formal (CU, RESET, PV) en un solo punto, traducción idiomática de la red Ladder.</t>
        </is>
      </c>
      <c r="J12" s="42" t="inlineStr">
        <is>
          <t>Traducción directa y fiel de las tres ramas, sin redundancias ni dependencias de orden problemáticas.</t>
        </is>
      </c>
      <c r="K12" s="42" t="inlineStr">
        <is>
          <t>Nombres del enunciado y comentarios que relacionan cada línea con su rama Ladder.</t>
        </is>
      </c>
      <c r="L12" s="42" t="inlineStr">
        <is>
          <t>Código mínimo y localizado; PV literal 12 en la llamada, como en la red original, sin constante declarada.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C7-1855</t>
        </is>
      </c>
      <c r="B13" s="39" t="inlineStr">
        <is>
          <t>Compila. Pasa los 7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 3: compila e instancia el CTU estándar con llamada formal (CU, RESET, PV) en un solo punto, traducción idiomática de la red Ladder.</t>
        </is>
      </c>
      <c r="J13" s="42" t="inlineStr">
        <is>
          <t>Traducción directa y fiel de las tres ramas, sin redundancias ni dependencias de orden problemáticas.</t>
        </is>
      </c>
      <c r="K13" s="42" t="inlineStr">
        <is>
          <t>Nombres del enunciado y comentarios que relacionan cada línea con su rama Ladder.</t>
        </is>
      </c>
      <c r="L13" s="42" t="inlineStr">
        <is>
          <t>Código mínimo y localizado; PV literal 12 en la llamada, como en la red original, sin constante declarada.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C7-6731</t>
        </is>
      </c>
      <c r="B14" s="39" t="inlineStr">
        <is>
          <t>Compila. Pasa los 7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 3: compila e instancia el CTU estándar con llamada formal (CU, RESET, PV) en un solo punto, traducción idiomática de la red Ladder.</t>
        </is>
      </c>
      <c r="J14" s="42" t="inlineStr">
        <is>
          <t>Traducción directa y fiel de las tres ramas, sin redundancias ni dependencias de orden problemáticas.</t>
        </is>
      </c>
      <c r="K14" s="42" t="inlineStr">
        <is>
          <t>Nombres del enunciado y comentarios útiles por línea.</t>
        </is>
      </c>
      <c r="L14" s="42" t="inlineStr">
        <is>
          <t>Código mínimo y localizado; PV literal 12 en la llamada, como en la red original, sin constante declarada.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C7-3114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3: compila e instancia el CTU estándar con llamada formal; el texto entregado omite END_FUNCTION_BLOCK.</t>
        </is>
      </c>
      <c r="J15" s="42" t="inlineStr">
        <is>
          <t>Traducción directa y fiel de las tres ramas, sin redundancias ni dependencias de orden problemáticas.</t>
        </is>
      </c>
      <c r="K15" s="42" t="inlineStr">
        <is>
          <t>Encabezado con el mapeo de ramas y comentarios en cada parámetro.</t>
        </is>
      </c>
      <c r="L15" s="42" t="inlineStr">
        <is>
          <t>Código mínimo y localizado; PV literal 12 en la llamada, como en la red original, sin constante declarada.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C7-6201</t>
        </is>
      </c>
      <c r="B16" s="39" t="inlineStr">
        <is>
          <t>Compila. Falla 5 de 7 pasos del harness (pasos 1,2,3,4,5; numerados desde 0).</t>
        </is>
      </c>
      <c r="C16" s="41" t="n">
        <v>0</v>
      </c>
      <c r="D16" s="41" t="n">
        <v>2</v>
      </c>
      <c r="E16" s="41" t="n">
        <v>0</v>
      </c>
      <c r="F16" s="41" t="n">
        <v>1</v>
      </c>
      <c r="G16" s="41" t="n">
        <v>1</v>
      </c>
      <c r="H16" s="40">
        <f>IF(COUNT(C16:G16)=5,SUM(C16:G16),"")</f>
        <v/>
      </c>
      <c r="I16" s="42" t="inlineStr">
        <is>
          <t>Funcional 0: asigna C1.CU, C1.RESET y C1.PV pero nunca invoca la instancia C1, por lo que el contador no cuenta (falla 5 de 7 pasos, incluido el nominal); IEC 2: compila con declaraciones correctas, aunque el FB no se ejecuta.</t>
        </is>
      </c>
      <c r="J16" s="42" t="inlineStr">
        <is>
          <t>La instancia CTU nunca se ejecuta: Q y CV quedan constantes, lo que deja la lógica muerta.</t>
        </is>
      </c>
      <c r="K16" s="42" t="inlineStr">
        <is>
          <t>Comentarios afirman efectos que no ocurren y renumeran las ramas respecto de la red original.</t>
        </is>
      </c>
      <c r="L16" s="42" t="inlineStr">
        <is>
          <t>IF/ELSE redundantes para copiar booleanos y lógica dispersa.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C7-2101</t>
        </is>
      </c>
      <c r="B17" s="39" t="inlineStr">
        <is>
          <t>Compila. Pasa los 7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 3: compila e instancia el CTU estándar con llamada formal (CU, RESET, PV) en un solo punto, traducción idiomática de la red Ladder.</t>
        </is>
      </c>
      <c r="J17" s="42" t="inlineStr">
        <is>
          <t>Traducción directa y fiel de las tres ramas, sin redundancias ni dependencias de orden problemáticas.</t>
        </is>
      </c>
      <c r="K17" s="42" t="inlineStr">
        <is>
          <t>Nombres del enunciado y comentarios que relacionan cada línea con su rama Ladder.</t>
        </is>
      </c>
      <c r="L17" s="42" t="inlineStr">
        <is>
          <t>Código mínimo y localizado; PV literal 12 en la llamada, como en la red original, sin constante declarada.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C7-9652</t>
        </is>
      </c>
      <c r="B18" s="39" t="inlineStr">
        <is>
          <t>Compila. Pasa los 7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3: compila e instancia el CTU estándar con llamada formal (CU, RESET, PV) en un solo punto, traducción idiomática de la red Ladder.</t>
        </is>
      </c>
      <c r="J18" s="42" t="inlineStr">
        <is>
          <t>Traducción directa y fiel de las tres ramas, sin redundancias ni dependencias de orden problemáticas.</t>
        </is>
      </c>
      <c r="K18" s="42" t="inlineStr">
        <is>
          <t>Nombres del enunciado y comentarios que relacionan cada línea con su rama Ladder.</t>
        </is>
      </c>
      <c r="L18" s="42" t="inlineStr">
        <is>
          <t>Código mínimo y localizado; PV literal 12 en la llamada, como en la red original, sin constante declarada.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C7-6391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 3: compila e instancia el CTU estándar con llamada formal (CU, RESET, PV) en un solo punto, traducción idiomática de la red Ladder.</t>
        </is>
      </c>
      <c r="J19" s="42" t="inlineStr">
        <is>
          <t>Traducción directa y fiel de las tres ramas, sin redundancias ni dependencias de orden problemáticas.</t>
        </is>
      </c>
      <c r="K19" s="42" t="inlineStr">
        <is>
          <t>Nombres del enunciado y comentarios que relacionan cada línea con su rama Ladder.</t>
        </is>
      </c>
      <c r="L19" s="42" t="inlineStr">
        <is>
          <t>Código mínimo y localizado; PV literal 12 en la llamada, como en la red original, sin constante declarada.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C7-2041</t>
        </is>
      </c>
      <c r="B20" s="39" t="inlineStr">
        <is>
          <t>Compila. Pasa los 7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 3: compila e instancia el CTU estándar con llamada formal (CU, RESET, PV) en un solo punto, traducción idiomática de la red Ladder.</t>
        </is>
      </c>
      <c r="J20" s="42" t="inlineStr">
        <is>
          <t>Traducción directa y fiel de las tres ramas, sin redundancias ni dependencias de orden problemáticas.</t>
        </is>
      </c>
      <c r="K20" s="42" t="inlineStr">
        <is>
          <t>Nombres del enunciado y comentarios que relacionan cada línea con su rama Ladder.</t>
        </is>
      </c>
      <c r="L20" s="42" t="inlineStr">
        <is>
          <t>Código mínimo y localizado; PV literal 12 en la llamada, como en la red original, sin constante declarada.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C7-9033</t>
        </is>
      </c>
      <c r="B21" s="39" t="inlineStr">
        <is>
          <t>Compila. Pasa los 7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 3: compila e instancia el CTU estándar con llamada formal (CU, RESET, PV) en un solo punto, traducción idiomática de la red Ladder.</t>
        </is>
      </c>
      <c r="J21" s="42" t="inlineStr">
        <is>
          <t>Traducción directa y fiel de las tres ramas, sin redundancias ni dependencias de orden problemáticas.</t>
        </is>
      </c>
      <c r="K21" s="42" t="inlineStr">
        <is>
          <t>Nombres del enunciado y comentarios que relacionan cada línea con su rama Ladder.</t>
        </is>
      </c>
      <c r="L21" s="42" t="inlineStr">
        <is>
          <t>Código mínimo y localizado; PV literal 12 en la llamada, como en la red original, sin constante declarada.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C7-2277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IEC 2: compila con CTU estándar, pero asigna entradas mediante IF/ELSE y llama C1() vacío, construcción no idiomática.</t>
        </is>
      </c>
      <c r="J22" s="42" t="inlineStr">
        <is>
          <t>IF/ELSE redundantes para copiar booleanos y las salidas se leen antes de ejecutar C1(), con un ciclo de retraso respecto de la red Ladder.</t>
        </is>
      </c>
      <c r="K22" s="42" t="inlineStr">
        <is>
          <t>Comentarios por rama presentes y nombres del enunciado; el orden de ejecución no se explica.</t>
        </is>
      </c>
      <c r="L22" s="42" t="inlineStr">
        <is>
          <t>Lógica verbosa y redundante (IF/ELSE equivalentes a asignaciones directas), más difícil de mantener.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C7-6780</t>
        </is>
      </c>
      <c r="B23" s="39" t="inlineStr">
        <is>
          <t>Compila. Pasa los 7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IEC 3: compila e instancia el CTU estándar con llamada formal (CU, RESET, PV) en un solo punto, traducción idiomática de la red Ladder.</t>
        </is>
      </c>
      <c r="J23" s="42" t="inlineStr">
        <is>
          <t>Traducción directa y fiel de las tres ramas, sin redundancias ni dependencias de orden problemáticas.</t>
        </is>
      </c>
      <c r="K23" s="42" t="inlineStr">
        <is>
          <t>Nombres del enunciado y comentarios que relacionan cada línea con su rama Ladder.</t>
        </is>
      </c>
      <c r="L23" s="42" t="inlineStr">
        <is>
          <t>Código mínimo y localizado; PV literal 12 en la llamada, como en la red original, sin constante declarada.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C7-1135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IEC 2: compila con CTU estándar, pero asigna entradas mediante IF/ELSE y llama C1() vacío, construcción no idiomática.</t>
        </is>
      </c>
      <c r="J24" s="42" t="inlineStr">
        <is>
          <t>IF/ELSE redundantes para copiar booleanos y las salidas se leen antes de ejecutar C1(), con un ciclo de retraso respecto de la red Ladder.</t>
        </is>
      </c>
      <c r="K24" s="42" t="inlineStr">
        <is>
          <t>Comentarios por rama presentes y nombres del enunciado; el orden de ejecución no se explica.</t>
        </is>
      </c>
      <c r="L24" s="42" t="inlineStr">
        <is>
          <t>Lógica verbosa y redundante (IF/ELSE equivalentes a asignaciones directas), más difícil de mantener.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C7-1952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3: compila e instancia el CTU estándar con llamada formal (CU, RESET, PV) en un solo punto, traducción idiomática de la red Ladder.</t>
        </is>
      </c>
      <c r="J25" s="42" t="inlineStr">
        <is>
          <t>Traducción directa y fiel de las tres ramas, sin redundancias ni dependencias de orden problemáticas.</t>
        </is>
      </c>
      <c r="K25" s="42" t="inlineStr">
        <is>
          <t>Nombres del enunciado y comentarios que relacionan cada línea con su rama Ladder.</t>
        </is>
      </c>
      <c r="L25" s="42" t="inlineStr">
        <is>
          <t>Código mínimo y localizado; PV literal 12 en la llamada, como en la red original, sin constante declarada.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C7-8580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 3: compila e instancia el CTU estándar con llamada formal (CU, RESET, PV) en un solo punto, traducción idiomática de la red Ladder.</t>
        </is>
      </c>
      <c r="J26" s="42" t="inlineStr">
        <is>
          <t>Traducción directa y fiel de las tres ramas, sin redundancias ni dependencias de orden problemáticas.</t>
        </is>
      </c>
      <c r="K26" s="42" t="inlineStr">
        <is>
          <t>Nombres del enunciado y comentarios útiles; el primer comentario rotula la llamada cíclica como 'inicialización'.</t>
        </is>
      </c>
      <c r="L26" s="42" t="inlineStr">
        <is>
          <t>Código mínimo y localizado; PV literal 12 en la llamada, como en la red original, sin constante declarada.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C7-8598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2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IEC 2: compila con CTU estándar, pero asigna entradas mediante IF/ELSE y llama C1() vacío, construcción no idiomática.</t>
        </is>
      </c>
      <c r="J27" s="42" t="inlineStr">
        <is>
          <t>Ejecuta el contador antes de leer sus salidas, por lo que el comportamiento coincide con la red; los IF/ELSE son redundantes pero sin efecto.</t>
        </is>
      </c>
      <c r="K27" s="42" t="inlineStr">
        <is>
          <t>Comentarios por línea, aunque renumera las ramas (Rama 3/4) respecto de la red original.</t>
        </is>
      </c>
      <c r="L27" s="42" t="inlineStr">
        <is>
          <t>Lógica verbosa y redundante (IF/ELSE equivalentes a asignaciones directas).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C7-9091</t>
        </is>
      </c>
      <c r="B28" s="39" t="inlineStr">
        <is>
          <t>Compila. Pasa los 7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 3: compila e instancia el CTU estándar con llamada formal (CU, RESET, PV) en un solo punto, traducción idiomática de la red Ladder.</t>
        </is>
      </c>
      <c r="J28" s="42" t="inlineStr">
        <is>
          <t>Traducción directa y fiel de las tres ramas, sin redundancias ni dependencias de orden problemáticas.</t>
        </is>
      </c>
      <c r="K28" s="42" t="inlineStr">
        <is>
          <t>Nombres del enunciado y comentarios que relacionan cada línea con su rama Ladder.</t>
        </is>
      </c>
      <c r="L28" s="42" t="inlineStr">
        <is>
          <t>Código mínimo y localizado; PV literal 12 en la llamada, como en la red original, sin constante declarada.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C7-7646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IEC 3: compila e instancia el CTU estándar con llamada formal (CU, RESET, PV) en un solo punto, traducción idiomática de la red Ladder.</t>
        </is>
      </c>
      <c r="J29" s="42" t="inlineStr">
        <is>
          <t>Traducción directa y fiel de las tres ramas, sin redundancias ni dependencias de orden problemáticas.</t>
        </is>
      </c>
      <c r="K29" s="42" t="inlineStr">
        <is>
          <t>Bloques de comentario por rama que explican la equivalencia con el contacto y la bobina Ladder.</t>
        </is>
      </c>
      <c r="L29" s="42" t="inlineStr">
        <is>
          <t>Código mínimo y localizado; PV literal 12 en la llamada, como en la red original, sin constante declarada.</t>
        </is>
      </c>
      <c r="M29" s="42" t="n"/>
      <c r="N29" s="40">
        <f>IF(COUNT(C29:G29)=5,"Completa","Falta")</f>
        <v/>
      </c>
    </row>
    <row r="30"/>
  </sheetData>
  <dataValidations count="3">
    <dataValidation sqref="D6 D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  <dataValidation sqref="C1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[EVALUACIÓN IA — NO OFICIAL — solo para comparación con la evaluación humana] C8 — Conversión Ladder a ST — válvula con retardo (Complementaria)</t>
        </is>
      </c>
    </row>
    <row r="2" ht="15" customHeight="1" s="22">
      <c r="A2" s="33" t="inlineStr">
        <is>
          <t>Lee cada respuesta por su código en respuestas/Respuestas_C8.html.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C8-5754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sin cambios con TON estándar instanciado y llamado cada scan con tipos TIME correctos; traducción idiomática.</t>
        </is>
      </c>
      <c r="J6" s="42" t="inlineStr">
        <is>
          <t>Traducción directa y exacta de ambas ramas; TON evaluado cada ciclo, sin redundancias.</t>
        </is>
      </c>
      <c r="K6" s="42" t="inlineStr">
        <is>
          <t>Nombres correctos y comentarios útiles, aunque genéricos y sin referir las ramas Ladder.</t>
        </is>
      </c>
      <c r="L6" s="42" t="inlineStr">
        <is>
          <t>Un único literal T#5S en la llamada (fijado por el enunciado); cambio localizado aunque no parametrizado como entrada.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C8-2534</t>
        </is>
      </c>
      <c r="B7" s="39" t="inlineStr">
        <is>
          <t>Compila. Pasa los 6 pasos del harness.</t>
        </is>
      </c>
      <c r="C7" s="40" t="n">
        <v>3</v>
      </c>
      <c r="D7" s="41" t="n">
        <v>2</v>
      </c>
      <c r="E7" s="41" t="n">
        <v>2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Compila sin cambios, pero la llamada condicional del TON en IF/ELSE no es idiomática y PT solo se pasa en una rama.</t>
        </is>
      </c>
      <c r="J7" s="42" t="inlineStr">
        <is>
          <t>Funciona porque ambas ramas llaman al TON, pero la bifurcación es redundante respecto a T1(IN := nivelAlto).</t>
        </is>
      </c>
      <c r="K7" s="42" t="inlineStr">
        <is>
          <t>Comentarios mínimos y el de 'Inicialización del temporizador' no describe lo que hace el código.</t>
        </is>
      </c>
      <c r="L7" s="42" t="inlineStr">
        <is>
          <t>Llamada al temporizador duplicada en dos ramas; PT repartido entre ellas.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C8-4156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2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Compila sin cambios, pero la llamada condicional del TON en IF/ELSE no es idiomática y PT solo se pasa en una rama.</t>
        </is>
      </c>
      <c r="J8" s="42" t="inlineStr">
        <is>
          <t>Funciona porque ambas ramas llaman al TON, pero la bifurcación es redundante respecto a T1(IN := nivelAlto).</t>
        </is>
      </c>
      <c r="K8" s="42" t="inlineStr">
        <is>
          <t>Comentarios mínimos y el de 'Inicialización del temporizador' no describe lo que hace el código. Falta END_FUNCTION_BLOCK.</t>
        </is>
      </c>
      <c r="L8" s="42" t="inlineStr">
        <is>
          <t>Llamada al temporizador duplicada en dos ramas; PT repartido entre ellas.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C8-1981</t>
        </is>
      </c>
      <c r="B9" s="39" t="inlineStr">
        <is>
          <t>Compila. Pasa los 6 pasos del harness.</t>
        </is>
      </c>
      <c r="C9" s="40" t="n">
        <v>3</v>
      </c>
      <c r="D9" s="41" t="n">
        <v>2</v>
      </c>
      <c r="E9" s="41" t="n">
        <v>2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Compila sin cambios; PT asignado aparte y TON llamado dentro de IF/ELSE, construcción poco idiomática.</t>
        </is>
      </c>
      <c r="J9" s="42" t="inlineStr">
        <is>
          <t>Correcta pero con bifurcación innecesaria para pasar IN, redundante con una sola llamada.</t>
        </is>
      </c>
      <c r="K9" s="42" t="inlineStr">
        <is>
          <t>Comentarios mapean las ramas Ladder; falta END_FUNCTION_BLOCK.</t>
        </is>
      </c>
      <c r="L9" s="42" t="inlineStr">
        <is>
          <t>Llamada al temporizador duplicada en dos ramas; PT repartido entre ellas.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C8-8380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Compila sin cambios con TON estándar instanciado y llamado cada scan con tipos TIME correctos; traducción idiomática.</t>
        </is>
      </c>
      <c r="J10" s="42" t="inlineStr">
        <is>
          <t>Traducción directa y exacta de ambas ramas; TON evaluado cada ciclo, sin redundancias.</t>
        </is>
      </c>
      <c r="K10" s="42" t="inlineStr">
        <is>
          <t>Comentarios que relacionan cada línea con su rama Ladder, explicando la correspondencia de la conversión.</t>
        </is>
      </c>
      <c r="L10" s="42" t="inlineStr">
        <is>
          <t>Un único literal T#5S en la llamada (fijado por el enunciado); cambio localizado aunque no parametrizado como entrada.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C8-5696</t>
        </is>
      </c>
      <c r="B11" s="39" t="inlineStr">
        <is>
          <t>Compila. Pasa los 6 pasos del harness.</t>
        </is>
      </c>
      <c r="C11" s="40" t="n">
        <v>3</v>
      </c>
      <c r="D11" s="41" t="n">
        <v>2</v>
      </c>
      <c r="E11" s="41" t="n">
        <v>2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Compila sin cambios, pero la llamada condicional del TON en IF/ELSE no es idiomática y PT solo se pasa en una rama.</t>
        </is>
      </c>
      <c r="J11" s="42" t="inlineStr">
        <is>
          <t>Funciona porque ambas ramas llaman al TON, pero la bifurcación es redundante respecto a T1(IN := nivelAlto).</t>
        </is>
      </c>
      <c r="K11" s="42" t="inlineStr">
        <is>
          <t>Comentarios mínimos y el de 'Inicialización del temporizador' no describe lo que hace el código.</t>
        </is>
      </c>
      <c r="L11" s="42" t="inlineStr">
        <is>
          <t>Llamada al temporizador duplicada en dos ramas; PT repartido entre ellas.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C8-4887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Compila sin cambios con TON estándar instanciado y llamado cada scan con tipos TIME correctos; traducción idiomática.</t>
        </is>
      </c>
      <c r="J12" s="42" t="inlineStr">
        <is>
          <t>Traducción directa y exacta de ambas ramas; TON evaluado cada ciclo, sin redundancias.</t>
        </is>
      </c>
      <c r="K12" s="42" t="inlineStr">
        <is>
          <t>Comentarios que documentan la equivalencia con cada rama y contacto del Ladder.</t>
        </is>
      </c>
      <c r="L12" s="42" t="inlineStr">
        <is>
          <t>Un único literal T#5S en la llamada (fijado por el enunciado); cambio localizado aunque no parametrizado como entrada.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C8-4679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Compila sin cambios con TON estándar instanciado y llamado cada scan con tipos TIME correctos; traducción idiomática.</t>
        </is>
      </c>
      <c r="J13" s="42" t="inlineStr">
        <is>
          <t>Traducción directa y exacta de ambas ramas; TON evaluado cada ciclo, sin redundancias.</t>
        </is>
      </c>
      <c r="K13" s="42" t="inlineStr">
        <is>
          <t>Nombres correctos y comentarios útiles pero genéricos.</t>
        </is>
      </c>
      <c r="L13" s="42" t="inlineStr">
        <is>
          <t>Un único literal T#5S en la llamada (fijado por el enunciado); cambio localizado aunque no parametrizado como entrada.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C8-6973</t>
        </is>
      </c>
      <c r="B14" s="39" t="inlineStr">
        <is>
          <t>Compila sola, pero no se pudo simular: declara las entradas donde el harness no puede escribirlas ('nivelAlto' no es ninguna entrada de 'FB_VALVULA').</t>
        </is>
      </c>
      <c r="C14" s="41" t="n">
        <v>1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Lógica del TON correcta, pero entrada y salida declaradas en VAR: el bloque no puede recibir nivelAlto ni exponer valvula, por lo que no opera como se pide.</t>
        </is>
      </c>
      <c r="J14" s="42" t="inlineStr">
        <is>
          <t>nivelAlto nunca puede ser escrito desde fuera, de modo que el temporizador queda sin efecto práctico.</t>
        </is>
      </c>
      <c r="K14" s="42" t="inlineStr">
        <is>
          <t>Comentarios rotulan 'Entrada'/'Salida' variables declaradas como locales, lo que confunde la interfaz. Falta END_FUNCTION_BLOCK.</t>
        </is>
      </c>
      <c r="L14" s="42" t="inlineStr">
        <is>
          <t>Interfaz incorrecta obliga a reestructurar las declaraciones para reutilizarlo.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C8-7535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Compila sin cambios con TON estándar instanciado y llamado cada scan con tipos TIME correctos; traducción idiomática.</t>
        </is>
      </c>
      <c r="J15" s="42" t="inlineStr">
        <is>
          <t>Traducción directa y exacta de ambas ramas; TON evaluado cada ciclo, sin redundancias.</t>
        </is>
      </c>
      <c r="K15" s="42" t="inlineStr">
        <is>
          <t>Comentarios útiles pero genéricos, sin referencia a las ramas.</t>
        </is>
      </c>
      <c r="L15" s="42" t="inlineStr">
        <is>
          <t>Un único literal T#5S en la llamada (fijado por el enunciado); cambio localizado aunque no parametrizado como entrada.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C8-1455</t>
        </is>
      </c>
      <c r="B16" s="39" t="inlineStr">
        <is>
          <t>Compila. Falla 2 de 6 pasos del harness (pasos 3,5; numerados desde 0).</t>
        </is>
      </c>
      <c r="C16" s="41" t="n">
        <v>1</v>
      </c>
      <c r="D16" s="41" t="n">
        <v>2</v>
      </c>
      <c r="E16" s="41" t="n">
        <v>0</v>
      </c>
      <c r="F16" s="41" t="n">
        <v>1</v>
      </c>
      <c r="G16" s="41" t="n">
        <v>1</v>
      </c>
      <c r="H16" s="40">
        <f>IF(COUNT(C16:G16)=5,SUM(C16:G16),"")</f>
        <v/>
      </c>
      <c r="I16" s="42" t="inlineStr">
        <is>
          <t>Abre correctamente tras 5 s, pero el TON solo se llama con nivelAlto TRUE, así que nunca ve IN=FALSE y no cierra (falla pasos 3 y 5).</t>
        </is>
      </c>
      <c r="J16" s="42" t="inlineStr">
        <is>
          <t>La llamada condicional impide el rearme: la válvula queda enclavada y no vuelve a cerrar.</t>
        </is>
      </c>
      <c r="K16" s="42" t="inlineStr">
        <is>
          <t>Comentario de 'inicialización' incorrecto y falta END_FUNCTION_BLOCK.</t>
        </is>
      </c>
      <c r="L16" s="42" t="inlineStr">
        <is>
          <t>Llamada condicional que habría que reescribir; literal en la rama.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C8-8654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Compila sin cambios con TON estándar instanciado y llamado cada scan con tipos TIME correctos; traducción idiomática.</t>
        </is>
      </c>
      <c r="J17" s="42" t="inlineStr">
        <is>
          <t>Traducción directa y exacta de ambas ramas; TON evaluado cada ciclo, sin redundancias.</t>
        </is>
      </c>
      <c r="K17" s="42" t="inlineStr">
        <is>
          <t>Comentarios que mapean cada rama Ladder y el contacto T1.Q.</t>
        </is>
      </c>
      <c r="L17" s="42" t="inlineStr">
        <is>
          <t>Un único literal T#5S en la llamada (fijado por el enunciado); cambio localizado aunque no parametrizado como entrada.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C8-2995</t>
        </is>
      </c>
      <c r="B18" s="39" t="inlineStr">
        <is>
          <t>Compila sola, pero no se pudo simular: declara las entradas donde el harness no puede escribirlas ('nivelAlto' no es ninguna entrada de 'FB_VALVULA').</t>
        </is>
      </c>
      <c r="C18" s="41" t="n">
        <v>1</v>
      </c>
      <c r="D18" s="41" t="n">
        <v>1</v>
      </c>
      <c r="E18" s="41" t="n">
        <v>1</v>
      </c>
      <c r="F18" s="41" t="n">
        <v>1</v>
      </c>
      <c r="G18" s="41" t="n">
        <v>1</v>
      </c>
      <c r="H18" s="40">
        <f>IF(COUNT(C18:G18)=5,SUM(C18:G18),"")</f>
        <v/>
      </c>
      <c r="I18" s="42" t="inlineStr">
        <is>
          <t>Lógica del TON correcta, pero entrada y salida declaradas en VAR: el bloque no puede recibir nivelAlto ni exponer valvula, por lo que no opera como se pide.</t>
        </is>
      </c>
      <c r="J18" s="42" t="inlineStr">
        <is>
          <t>nivelAlto nunca puede ser escrito desde fuera, de modo que el temporizador queda sin efecto práctico.</t>
        </is>
      </c>
      <c r="K18" s="42" t="inlineStr">
        <is>
          <t>Comentarios rotulan 'Entrada'/'Salida' variables declaradas como locales, lo que confunde la interfaz. Un comentario describe solo la asignación de PT.</t>
        </is>
      </c>
      <c r="L18" s="42" t="inlineStr">
        <is>
          <t>Interfaz incorrecta obliga a reestructurar las declaraciones para reutilizarlo.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C8-7711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Compila sin cambios con TON estándar instanciado y llamado cada scan con tipos TIME correctos; traducción idiomática.</t>
        </is>
      </c>
      <c r="J19" s="42" t="inlineStr">
        <is>
          <t>Traducción directa y exacta de ambas ramas; TON evaluado cada ciclo, sin redundancias.</t>
        </is>
      </c>
      <c r="K19" s="42" t="inlineStr">
        <is>
          <t>Encabezado que resume el segmento Ladder y comentarios por rama.</t>
        </is>
      </c>
      <c r="L19" s="42" t="inlineStr">
        <is>
          <t>Un único literal T#5S en la llamada (fijado por el enunciado); cambio localizado aunque no parametrizado como entrada.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C8-4581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Compila sin cambios con TON estándar instanciado y llamado cada scan con tipos TIME correctos; traducción idiomática.</t>
        </is>
      </c>
      <c r="J20" s="42" t="inlineStr">
        <is>
          <t>Traducción directa y exacta de ambas ramas; TON evaluado cada ciclo, sin redundancias.</t>
        </is>
      </c>
      <c r="K20" s="42" t="inlineStr">
        <is>
          <t>Comentarios en declaración y cuerpo que explican la correspondencia con el Ladder.</t>
        </is>
      </c>
      <c r="L20" s="42" t="inlineStr">
        <is>
          <t>Un único literal T#5S en la llamada (fijado por el enunciado); cambio localizado aunque no parametrizado como entrada.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C8-6084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Compila sin cambios con TON estándar instanciado y llamado cada scan con tipos TIME correctos; traducción idiomática.</t>
        </is>
      </c>
      <c r="J21" s="42" t="inlineStr">
        <is>
          <t>Traducción directa y exacta de ambas ramas; TON evaluado cada ciclo, sin redundancias.</t>
        </is>
      </c>
      <c r="K21" s="42" t="inlineStr">
        <is>
          <t>Comentarios que documentan cada rama y contacto del Ladder.</t>
        </is>
      </c>
      <c r="L21" s="42" t="inlineStr">
        <is>
          <t>Un único literal T#5S en la llamada (fijado por el enunciado); cambio localizado aunque no parametrizado como entrada.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C8-4519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Compila sin cambios con TON estándar instanciado y llamado cada scan con tipos TIME correctos; traducción idiomática.</t>
        </is>
      </c>
      <c r="J22" s="42" t="inlineStr">
        <is>
          <t>Traducción directa y exacta de ambas ramas; TON evaluado cada ciclo, sin redundancias.</t>
        </is>
      </c>
      <c r="K22" s="42" t="inlineStr">
        <is>
          <t>Encabezado y comentarios de equivalencia contacto/bobina por rama.</t>
        </is>
      </c>
      <c r="L22" s="42" t="inlineStr">
        <is>
          <t>Un único literal T#5S en la llamada (fijado por el enunciado); cambio localizado aunque no parametrizado como entrada.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C8-2420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sin cambios con TON estándar instanciado y llamado cada scan con tipos TIME correctos; traducción idiomática.</t>
        </is>
      </c>
      <c r="J23" s="42" t="inlineStr">
        <is>
          <t>Traducción directa y exacta de ambas ramas; TON evaluado cada ciclo, sin redundancias.</t>
        </is>
      </c>
      <c r="K23" s="42" t="inlineStr">
        <is>
          <t>Comentarios que mapean cada rama Ladder.</t>
        </is>
      </c>
      <c r="L23" s="42" t="inlineStr">
        <is>
          <t>Un único literal T#5S en la llamada (fijado por el enunciado); cambio localizado aunque no parametrizado como entrada.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C8-5584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Compila sin cambios con TON estándar instanciado y llamado cada scan con tipos TIME correctos; traducción idiomática.</t>
        </is>
      </c>
      <c r="J24" s="42" t="inlineStr">
        <is>
          <t>Traducción directa y exacta de ambas ramas; TON evaluado cada ciclo, sin redundancias.</t>
        </is>
      </c>
      <c r="K24" s="42" t="inlineStr">
        <is>
          <t>Comentarios por rama que explican la equivalencia con el Ladder.</t>
        </is>
      </c>
      <c r="L24" s="42" t="inlineStr">
        <is>
          <t>Un único literal T#5S en la llamada (fijado por el enunciado); cambio localizado aunque no parametrizado como entrada.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C8-3511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Compila sin cambios con TON estándar instanciado y llamado cada scan con tipos TIME correctos; traducción idiomática.</t>
        </is>
      </c>
      <c r="J25" s="42" t="inlineStr">
        <is>
          <t>Traducción directa y exacta de ambas ramas; TON evaluado cada ciclo, sin redundancias.</t>
        </is>
      </c>
      <c r="K25" s="42" t="inlineStr">
        <is>
          <t>Comentarios por rama claros, pero falta END_FUNCTION_BLOCK.</t>
        </is>
      </c>
      <c r="L25" s="42" t="inlineStr">
        <is>
          <t>Un único literal T#5S en la llamada (fijado por el enunciado); cambio localizado aunque no parametrizado como entrada.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C8-4933</t>
        </is>
      </c>
      <c r="B26" s="39" t="inlineStr">
        <is>
          <t>Compila sola, pero no se pudo simular: declara las entradas donde el harness no puede escribirlas ('nivelAlto' no es ninguna entrada de 'FB_VALVULA').</t>
        </is>
      </c>
      <c r="C26" s="41" t="n">
        <v>1</v>
      </c>
      <c r="D26" s="41" t="n">
        <v>1</v>
      </c>
      <c r="E26" s="41" t="n">
        <v>1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Lógica del TON correcta, pero entrada y salida declaradas en VAR: el bloque no puede recibir nivelAlto ni exponer valvula, por lo que no opera como se pide.</t>
        </is>
      </c>
      <c r="J26" s="42" t="inlineStr">
        <is>
          <t>nivelAlto nunca puede ser escrito desde fuera, de modo que el temporizador queda sin efecto práctico.</t>
        </is>
      </c>
      <c r="K26" s="42" t="inlineStr">
        <is>
          <t>Comentarios rotulan 'Entrada'/'Salida' variables declaradas como locales, lo que confunde la interfaz.</t>
        </is>
      </c>
      <c r="L26" s="42" t="inlineStr">
        <is>
          <t>Interfaz incorrecta obliga a reestructurar las declaraciones para reutilizarlo.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C8-8185</t>
        </is>
      </c>
      <c r="B27" s="39" t="inlineStr">
        <is>
          <t>Compila. Pasa los 6 pasos del harness.</t>
        </is>
      </c>
      <c r="C27" s="40" t="n">
        <v>3</v>
      </c>
      <c r="D27" s="41" t="n">
        <v>2</v>
      </c>
      <c r="E27" s="41" t="n">
        <v>2</v>
      </c>
      <c r="F27" s="41" t="n">
        <v>1</v>
      </c>
      <c r="G27" s="41" t="n">
        <v>1</v>
      </c>
      <c r="H27" s="40">
        <f>IF(COUNT(C27:G27)=5,SUM(C27:G27),"")</f>
        <v/>
      </c>
      <c r="I27" s="42" t="inlineStr">
        <is>
          <t>Compila sin cambios, pero la llamada condicional del TON en IF/ELSE no es idiomática y PT solo se pasa en una rama.</t>
        </is>
      </c>
      <c r="J27" s="42" t="inlineStr">
        <is>
          <t>Funciona porque ambas ramas llaman al TON, pero la bifurcación es redundante respecto a T1(IN := nivelAlto).</t>
        </is>
      </c>
      <c r="K27" s="42" t="inlineStr">
        <is>
          <t>Comentarios mínimos y el de 'Inicialización del temporizador' no describe lo que hace el código.</t>
        </is>
      </c>
      <c r="L27" s="42" t="inlineStr">
        <is>
          <t>Llamada al temporizador duplicada en dos ramas; PT repartido entre ellas.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C8-1743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Compila sin cambios con TON estándar instanciado y llamado cada scan con tipos TIME correctos; traducción idiomática.</t>
        </is>
      </c>
      <c r="J28" s="42" t="inlineStr">
        <is>
          <t>Traducción directa y exacta de ambas ramas; TON evaluado cada ciclo, sin redundancias.</t>
        </is>
      </c>
      <c r="K28" s="42" t="inlineStr">
        <is>
          <t>Comentarios por rama que explican la conversión.</t>
        </is>
      </c>
      <c r="L28" s="42" t="inlineStr">
        <is>
          <t>Un único literal T#5S en la llamada (fijado por el enunciado); cambio localizado aunque no parametrizado como entrada.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C8-5787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sin cambios con TON estándar instanciado y llamado cada scan con tipos TIME correctos; traducción idiomática.</t>
        </is>
      </c>
      <c r="J29" s="42" t="inlineStr">
        <is>
          <t>Traducción directa y exacta de ambas ramas; TON evaluado cada ciclo, sin redundancias.</t>
        </is>
      </c>
      <c r="K29" s="42" t="inlineStr">
        <is>
          <t>Comentarios en declaración y por rama que documentan la equivalencia Ladder.</t>
        </is>
      </c>
      <c r="L29" s="42" t="inlineStr">
        <is>
          <t>Un único literal T#5S en la llamada (fijado por el enunciado); cambio localizado aunque no parametrizado como entrada.</t>
        </is>
      </c>
      <c r="M29" s="42" t="n"/>
      <c r="N29" s="40">
        <f>IF(COUNT(C29:G29)=5,"Completa","Falta")</f>
        <v/>
      </c>
    </row>
    <row r="30"/>
  </sheetData>
  <dataValidations count="3">
    <dataValidation sqref="C14 C16 C18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2026-10-07T06:37:28Z</dcterms:created>
  <dcterms:modified xmlns:dcterms="http://purl.org/dc/terms/" xmlns:xsi="http://www.w3.org/2001/XMLSchema-instance" xsi:type="dcterms:W3CDTF">2026-10-08T19:23:29Z</dcterms:modified>
  <cp:revision>0</cp:revision>
</cp:coreProperties>
</file>