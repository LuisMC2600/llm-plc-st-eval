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25.xml" ContentType="application/vnd.openxmlformats-officedocument.spreadsheetml.comments+xml"/>
  <Override PartName="/xl/workbook.xml" ContentType="application/vnd.openxmlformats-officedocument.spreadsheetml.sheet.main+xml"/>
  <Override PartName="/xl/comments24.xml" ContentType="application/vnd.openxmlformats-officedocument.spreadsheetml.comments+xml"/>
  <Override PartName="/xl/drawings/vmlDrawing13.vml" ContentType="application/vnd.openxmlformats-officedocument.vmlDrawing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vmlDrawing7.vml" ContentType="application/vnd.openxmlformats-officedocument.vmlDrawing"/>
  <Override PartName="/xl/drawings/vmlDrawing6.vml" ContentType="application/vnd.openxmlformats-officedocument.vmlDrawing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vmlDrawing25.vml" ContentType="application/vnd.openxmlformats-officedocument.vmlDrawing"/>
  <Override PartName="/xl/drawings/vmlDrawing24.vml" ContentType="application/vnd.openxmlformats-officedocument.vmlDrawing"/>
  <Override PartName="/xl/drawings/vmlDrawing23.vml" ContentType="application/vnd.openxmlformats-officedocument.vmlDrawing"/>
  <Override PartName="/xl/drawings/vmlDrawing22.vml" ContentType="application/vnd.openxmlformats-officedocument.vmlDrawing"/>
  <Override PartName="/xl/drawings/vmlDrawing21.vml" ContentType="application/vnd.openxmlformats-officedocument.vmlDrawing"/>
  <Override PartName="/xl/drawings/vmlDrawing19.vml" ContentType="application/vnd.openxmlformats-officedocument.vmlDrawing"/>
  <Override PartName="/xl/drawings/vmlDrawing20.vml" ContentType="application/vnd.openxmlformats-officedocument.vmlDrawing"/>
  <Override PartName="/xl/drawings/vmlDrawing18.vml" ContentType="application/vnd.openxmlformats-officedocument.vmlDrawing"/>
  <Override PartName="/xl/drawings/vmlDrawing17.vml" ContentType="application/vnd.openxmlformats-officedocument.vmlDrawing"/>
  <Override PartName="/xl/drawings/vmlDrawing16.vml" ContentType="application/vnd.openxmlformats-officedocument.vmlDrawing"/>
  <Override PartName="/xl/drawings/vmlDrawing15.vml" ContentType="application/vnd.openxmlformats-officedocument.vmlDrawing"/>
  <Override PartName="/xl/drawings/vmlDrawing1.vml" ContentType="application/vnd.openxmlformats-officedocument.vmlDrawing"/>
  <Override PartName="/xl/drawings/vmlDrawing14.vml" ContentType="application/vnd.openxmlformats-officedocument.vmlDrawing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16.xml" ContentType="application/vnd.openxmlformats-officedocument.spreadsheetml.comments+xml"/>
  <Override PartName="/xl/comments6.xml" ContentType="application/vnd.openxmlformats-officedocument.spreadsheetml.comments+xml"/>
  <Override PartName="/xl/comments20.xml" ContentType="application/vnd.openxmlformats-officedocument.spreadsheetml.comments+xml"/>
  <Override PartName="/xl/comments18.xml" ContentType="application/vnd.openxmlformats-officedocument.spreadsheetml.comments+xml"/>
  <Override PartName="/xl/theme/theme1.xml" ContentType="application/vnd.openxmlformats-officedocument.theme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comments9.xml" ContentType="application/vnd.openxmlformats-officedocument.spreadsheetml.comment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15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27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comments19.xml" ContentType="application/vnd.openxmlformats-officedocument.spreadsheetml.comments+xml"/>
  <Override PartName="/xl/comments21.xml" ContentType="application/vnd.openxmlformats-officedocument.spreadsheetml.comments+xml"/>
  <Override PartName="/xl/comments3.xml" ContentType="application/vnd.openxmlformats-officedocument.spreadsheetml.comments+xml"/>
  <Override PartName="/xl/comments13.xml" ContentType="application/vnd.openxmlformats-officedocument.spreadsheetml.comments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styles.xml" ContentType="application/vnd.openxmlformats-officedocument.spreadsheetml.style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úbrica" sheetId="2" state="visible" r:id="rId4"/>
    <sheet name="B1" sheetId="3" state="visible" r:id="rId5"/>
    <sheet name="B2" sheetId="4" state="visible" r:id="rId6"/>
    <sheet name="B3" sheetId="5" state="visible" r:id="rId7"/>
    <sheet name="B4" sheetId="6" state="visible" r:id="rId8"/>
    <sheet name="B5" sheetId="7" state="visible" r:id="rId9"/>
    <sheet name="B6" sheetId="8" state="visible" r:id="rId10"/>
    <sheet name="B7" sheetId="9" state="visible" r:id="rId11"/>
    <sheet name="B8" sheetId="10" state="visible" r:id="rId12"/>
    <sheet name="I1" sheetId="11" state="visible" r:id="rId13"/>
    <sheet name="I2" sheetId="12" state="visible" r:id="rId14"/>
    <sheet name="I3" sheetId="13" state="visible" r:id="rId15"/>
    <sheet name="I4" sheetId="14" state="visible" r:id="rId16"/>
    <sheet name="I5" sheetId="15" state="visible" r:id="rId17"/>
    <sheet name="I6" sheetId="16" state="visible" r:id="rId18"/>
    <sheet name="I7" sheetId="17" state="visible" r:id="rId19"/>
    <sheet name="I8" sheetId="18" state="visible" r:id="rId20"/>
    <sheet name="A1" sheetId="19" state="visible" r:id="rId21"/>
    <sheet name="A2" sheetId="20" state="visible" r:id="rId22"/>
    <sheet name="A3" sheetId="21" state="visible" r:id="rId23"/>
    <sheet name="A4" sheetId="22" state="visible" r:id="rId24"/>
    <sheet name="A5" sheetId="23" state="visible" r:id="rId25"/>
    <sheet name="A6" sheetId="24" state="visible" r:id="rId26"/>
    <sheet name="C3" sheetId="25" state="visible" r:id="rId27"/>
    <sheet name="C7" sheetId="26" state="visible" r:id="rId28"/>
    <sheet name="C8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comments2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Viene de la compilación y de la simulación con el harness. No se edita.</t>
        </r>
      </text>
    </comment>
    <comment ref="C4" authorId="0">
      <text>
        <r>
          <rPr>
            <sz val="10"/>
            <rFont val="Arial"/>
            <family val="2"/>
          </rPr>
          <t xml:space="preserve">Precargada y fija si la respuesta pasa todos los pasos (3) o no compila (0). En amarillo: puntúa 0, 1 o 2 según la rúbrica, con el detalle de pasos fallidos del HTML.</t>
        </r>
      </text>
    </comment>
    <comment ref="D4" authorId="0">
      <text>
        <r>
          <rPr>
            <sz val="10"/>
            <rFont val="Arial"/>
            <family val="2"/>
          </rPr>
          <t xml:space="preserve">Precargada y fija en 0 si no compila. En amarillo: 1 si usa extensiones fuera del estándar; 2 si compila sin cambios con declaraciones y tipos correctos; 3 si además usa construcciones idiomáticas.</t>
        </r>
      </text>
    </comment>
    <comment ref="E4" authorId="0">
      <text>
        <r>
          <rPr>
            <sz val="10"/>
            <rFont val="Arial"/>
            <family val="2"/>
          </rPr>
          <t xml:space="preserve">Coherencia lógica — 0: Condiciones contradictorias, variables sin inicializar con efecto, o estados muertos que impiden operar. 1: Lógica mayormente coherente con redundancias o condiciones muertas sin efecto grave. 2: Sin contradicciones; inicialización correcta; transiciones completas. 3: Además, robusta: interlocks completos, sin estados inalcanzables, comportamiento seguro ante entradas simultáneas.</t>
        </r>
      </text>
    </comment>
    <comment ref="F4" authorId="0">
      <text>
        <r>
          <rPr>
            <sz val="10"/>
            <rFont val="Arial"/>
            <family val="2"/>
          </rPr>
          <t xml:space="preserve">Claridad estructural — 0: Sin estructura reconocible; nombres crípticos; sin comentarios. 1: Estructura básica pero nombres pobres o comentarios ausentes/incorrectos. 2: Nombres descriptivos, secciones ordenadas, comentarios útiles. 3: Además, modularización adecuada (FB reutilizable, separación lógica/E/S) y comentarios que explican el porqué.</t>
        </r>
      </text>
    </comment>
    <comment ref="G4" authorId="0">
      <text>
        <r>
          <rPr>
            <sz val="10"/>
            <rFont val="Arial"/>
            <family val="2"/>
          </rPr>
          <t xml:space="preserve">Mantenibilidad — 0: Valores mágicos por doquier; imposible modificar sin reescribir. 1: Modificable con esfuerzo; constantes parcialmente parametrizadas. 2: Parámetros como variables/constantes declaradas; cambios localizados. 3: Además, diseño extensible (parámetros de entrada del FB, sin duplicación de lógica).</t>
        </r>
      </text>
    </comment>
    <comment ref="I4" authorId="0">
      <text>
        <r>
          <rPr>
            <sz val="10"/>
            <rFont val="Arial"/>
            <family val="2"/>
          </rPr>
          <t xml:space="preserve">Una línea, solo para las celdas amarillas de esas dos columnas.</t>
        </r>
      </text>
    </comment>
  </commentList>
</comments>
</file>

<file path=xl/sharedStrings.xml><?xml version="1.0" encoding="utf-8"?>
<sst xmlns="http://schemas.openxmlformats.org/spreadsheetml/2006/main" count="1839" uniqueCount="878">
  <si>
    <t xml:space="preserve">Evaluación a ciegas con la rúbrica de 5 criterios — Evaluador 1</t>
  </si>
  <si>
    <t xml:space="preserve">Tesis: LLM como asistentes de programación PLC en la academia (UTP). 600 respuestas de código de 25 tareas (generación y conversión), cada una con un código que no revela el modelo ni la estrategia.</t>
  </si>
  <si>
    <t xml:space="preserve">Qué hay que hacer</t>
  </si>
  <si>
    <t xml:space="preserve">1. Trabaja una tarea completa antes de pasar a la siguiente. Abre respuestas/Respuestas_&lt;tarea&gt;.html (enunciado, protocolo de prueba y respuestas por código) y la hoja de la misma tarea en este libro.</t>
  </si>
  <si>
    <t xml:space="preserve">2. Rellena ÚNICAMENTE las celdas amarillas con 0, 1, 2 o 3 según la hoja Rúbrica. Las celdas azules vienen de CODESYS o se calculan solas.</t>
  </si>
  <si>
    <t xml:space="preserve">3. Justifica cada puntuación en una línea, en la columna de justificación correspondiente. Sin justificación, la puntuación no es auditable.</t>
  </si>
  <si>
    <t xml:space="preserve">4. La fila gris EJEMPLO solo muestra el formato. No se analiza.</t>
  </si>
  <si>
    <t xml:space="preserve">5. Puedes repartir el trabajo en varias sesiones. La tabla de avance de abajo indica qué falta. Guarda con el mismo nombre.</t>
  </si>
  <si>
    <t xml:space="preserve">Reglas de decisión (fijadas antes de evaluar; no se cambian durante la evaluación)</t>
  </si>
  <si>
    <t xml:space="preserve">Si la respuesta NO compila: Cumplimiento IEC = 0 y Corrección funcional = 0. Ya están precargadas. Los otros tres criterios se evalúan igual, leyendo el código.</t>
  </si>
  <si>
    <t xml:space="preserve">Si la respuesta pasa TODOS los pasos del harness: Corrección funcional = 3. Ya está precargada.</t>
  </si>
  <si>
    <t xml:space="preserve">Si compila pero falla pasos del harness: Corrección funcional es 0, 1 o 2 según la rúbrica. El HTML indica qué pasos fallaron y el protocolo de prueba dice qué comprueba cada paso.</t>
  </si>
  <si>
    <t xml:space="preserve">Si compila sola pero no se pudo simular (declara las entradas donde el harness no puede escribirlas): Corrección funcional es 0, 1 o 2, juzgada leyendo el código; no puede ser 3 porque no se demostró en simulación.</t>
  </si>
  <si>
    <t xml:space="preserve">Cumplimiento IEC cuando compila: 1 si usa extensiones fuera del estándar; 2 si las declaraciones y los tipos son correctos; 3 si además usa construcciones idiomáticas del estándar.</t>
  </si>
  <si>
    <t xml:space="preserve">Repartir el código entre declaración e implementación es un requisito del editor de CODESYS: no penaliza.</t>
  </si>
  <si>
    <t xml:space="preserve">Puntúa lo que el código es, no lo que el modelo probablemente quiso hacer.</t>
  </si>
  <si>
    <t xml:space="preserve">Evaluación a ciegas</t>
  </si>
  <si>
    <t xml:space="preserve">No consultes _SELLADO_asignacion_rubrica.csv, la carpeta de datos ni los resultados por modelo mientras calificas. Los evaluadores trabajan por separado y no comentan casos concretos hasta que ambos terminen.</t>
  </si>
  <si>
    <t xml:space="preserve">Avance</t>
  </si>
  <si>
    <t xml:space="preserve">Tarea</t>
  </si>
  <si>
    <t xml:space="preserve">Respuestas</t>
  </si>
  <si>
    <t xml:space="preserve">Completas</t>
  </si>
  <si>
    <t xml:space="preserve">Pendientes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</si>
  <si>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</si>
  <si>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</si>
  <si>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</si>
  <si>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</si>
  <si>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</si>
  <si>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</si>
  <si>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</si>
  <si>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</si>
  <si>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</si>
  <si>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</si>
  <si>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</si>
  <si>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</si>
  <si>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</si>
  <si>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I6</t>
  </si>
  <si>
    <t xml:space="preserve">I7</t>
  </si>
  <si>
    <t xml:space="preserve">I8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</si>
  <si>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</si>
  <si>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</si>
  <si>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</si>
  <si>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</si>
  <si>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</si>
  <si>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</si>
  <si>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C3</t>
  </si>
  <si>
    <t xml:space="preserve">C7</t>
  </si>
  <si>
    <t xml:space="preserve">C8</t>
  </si>
  <si>
    <t xml:space="preserve">Total</t>
  </si>
  <si>
    <t xml:space="preserve">Nombre del evaluador:</t>
  </si>
  <si>
    <t xml:space="preserve">Fechas de calificación:</t>
  </si>
  <si>
    <t xml:space="preserve">Rúbrica de evaluación — 5 criterios × 4 niveles</t>
  </si>
  <si>
    <t xml:space="preserve">Fuente: Banco_de_Pruebas_v0.xlsx, hoja Rúbrica (2.5), sin cambios de redacción. Insuficiente = 0, Básico = 1, Competente = 2, Excelente = 3.</t>
  </si>
  <si>
    <t xml:space="preserve">Criterio</t>
  </si>
  <si>
    <t xml:space="preserve">Insuficiente (0)</t>
  </si>
  <si>
    <t xml:space="preserve">Básico (1)</t>
  </si>
  <si>
    <t xml:space="preserve">Competente (2)</t>
  </si>
  <si>
    <t xml:space="preserve">Excelente (3)</t>
  </si>
  <si>
    <t xml:space="preserve">Fuente del criterio</t>
  </si>
  <si>
    <t xml:space="preserve">Corrección funcional</t>
  </si>
  <si>
    <t xml:space="preserve">No implementa la lógica pedida o falla en el caso nominal.</t>
  </si>
  <si>
    <t xml:space="preserve">Funciona en el caso nominal pero falla en casos límite evidentes (flancos, reset, E-stop).</t>
  </si>
  <si>
    <t xml:space="preserve">Correcto en el caso nominal y en la mayoría de los casos límite; fallas menores sin riesgo.</t>
  </si>
  <si>
    <t xml:space="preserve">Correcto en todos los casos probados, incluidos límites y secuencias de fallo.</t>
  </si>
  <si>
    <t xml:space="preserve">IEC 61508 / simulación CODESYS</t>
  </si>
  <si>
    <t xml:space="preserve">Cumplimiento IEC 61131-3</t>
  </si>
  <si>
    <t xml:space="preserve">No compila; sintaxis o declaraciones inválidas.</t>
  </si>
  <si>
    <t xml:space="preserve">Compila solo tras correcciones menores, o usa extensiones fuera del estándar.</t>
  </si>
  <si>
    <t xml:space="preserve">Compila sin cambios; declaraciones y tipos correctos.</t>
  </si>
  <si>
    <t xml:space="preserve">Compila sin cambios y usa construcciones idiomáticas del estándar (POU adecuado, tipos TIME correctos, FB estándar bien instanciados).</t>
  </si>
  <si>
    <t xml:space="preserve">IEC 61131-3 / compilador CODESYS</t>
  </si>
  <si>
    <t xml:space="preserve">Coherencia lógica</t>
  </si>
  <si>
    <t xml:space="preserve">Condiciones contradictorias, variables sin inicializar con efecto, o estados muertos que impiden operar.</t>
  </si>
  <si>
    <t xml:space="preserve">Lógica mayormente coherente con redundancias o condiciones muertas sin efecto grave.</t>
  </si>
  <si>
    <t xml:space="preserve">Sin contradicciones; inicialización correcta; transiciones completas.</t>
  </si>
  <si>
    <t xml:space="preserve">Además, robusta: interlocks completos, sin estados inalcanzables, comportamiento seguro ante entradas simultáneas.</t>
  </si>
  <si>
    <t xml:space="preserve">Análisis técnico + simulación</t>
  </si>
  <si>
    <t xml:space="preserve">Claridad estructural</t>
  </si>
  <si>
    <t xml:space="preserve">Sin estructura reconocible; nombres crípticos; sin comentarios.</t>
  </si>
  <si>
    <t xml:space="preserve">Estructura básica pero nombres pobres o comentarios ausentes/incorrectos.</t>
  </si>
  <si>
    <t xml:space="preserve">Nombres descriptivos, secciones ordenadas, comentarios útiles.</t>
  </si>
  <si>
    <t xml:space="preserve">Además, modularización adecuada (FB reutilizable, separación lógica/E/S) y comentarios que explican el porqué.</t>
  </si>
  <si>
    <t xml:space="preserve">Clean Code (Martin)</t>
  </si>
  <si>
    <t xml:space="preserve">Mantenibilidad</t>
  </si>
  <si>
    <t xml:space="preserve">Valores mágicos por doquier; imposible modificar sin reescribir.</t>
  </si>
  <si>
    <t xml:space="preserve">Modificable con esfuerzo; constantes parcialmente parametrizadas.</t>
  </si>
  <si>
    <t xml:space="preserve">Parámetros como variables/constantes declaradas; cambios localizados.</t>
  </si>
  <si>
    <t xml:space="preserve">Además, diseño extensible (parámetros de entrada del FB, sin duplicación de lógica).</t>
  </si>
  <si>
    <t xml:space="preserve">ISO/IEC 25010</t>
  </si>
  <si>
    <t xml:space="preserve">B1 — Arranque/paro de motor con enclavamiento (Basico)</t>
  </si>
  <si>
    <t xml:space="preserve">Lee cada respuesta por su código en respuestas/Respuestas_B1.html. Rellena solo las celdas amarillas. Las azules vienen de CODESYS o se calculan solas. La fila EJEMPLO no se analiza.</t>
  </si>
  <si>
    <t xml:space="preserve">Código</t>
  </si>
  <si>
    <t xml:space="preserve">Resultado en CODESYS (automático)</t>
  </si>
  <si>
    <t xml:space="preserve">Corrección funcional (0–3)</t>
  </si>
  <si>
    <t xml:space="preserve">Cumplimiento IEC (0–3)</t>
  </si>
  <si>
    <t xml:space="preserve">Coherencia lógica (0–3)</t>
  </si>
  <si>
    <t xml:space="preserve">Claridad estructural (0–3)</t>
  </si>
  <si>
    <t xml:space="preserve">Mantenibilidad (0–3)</t>
  </si>
  <si>
    <t xml:space="preserve">Total (0–15)</t>
  </si>
  <si>
    <t xml:space="preserve">Justificación: corrección funcional / IEC</t>
  </si>
  <si>
    <t xml:space="preserve">Justificación: coherencia</t>
  </si>
  <si>
    <t xml:space="preserve">Justificación: claridad</t>
  </si>
  <si>
    <t xml:space="preserve">Justificación: mantenibilidad</t>
  </si>
  <si>
    <t xml:space="preserve">Observaciones</t>
  </si>
  <si>
    <t xml:space="preserve">Estado</t>
  </si>
  <si>
    <t xml:space="preserve">EJEMPLO</t>
  </si>
  <si>
    <t xml:space="preserve">Compila. Falla 2 de 7 pasos del harness (pasos 3,5; numerados desde 0).</t>
  </si>
  <si>
    <t xml:space="preserve">Arranca y para, pero rearranca solo tras la emergencia.</t>
  </si>
  <si>
    <t xml:space="preserve">Sin contradicciones; transiciones completas.</t>
  </si>
  <si>
    <t xml:space="preserve">Nombres claros, comentarios útiles.</t>
  </si>
  <si>
    <t xml:space="preserve">El tiempo está escrito como literal en dos sitios.</t>
  </si>
  <si>
    <t xml:space="preserve">B1-3577</t>
  </si>
  <si>
    <t xml:space="preserve">Compila. Pasa los 7 pasos del harness.</t>
  </si>
  <si>
    <t xml:space="preserve">B1-8070</t>
  </si>
  <si>
    <t xml:space="preserve">No compila (12 errores).</t>
  </si>
  <si>
    <t xml:space="preserve">B1-4667</t>
  </si>
  <si>
    <t xml:space="preserve">B1-3153</t>
  </si>
  <si>
    <t xml:space="preserve">Compila. Falla 1 de 7 pasos del harness (pasos 6; numerados desde 0).</t>
  </si>
  <si>
    <t xml:space="preserve">B1-3916</t>
  </si>
  <si>
    <t xml:space="preserve">B1-4316</t>
  </si>
  <si>
    <t xml:space="preserve">B1-7103</t>
  </si>
  <si>
    <t xml:space="preserve">B1-3006</t>
  </si>
  <si>
    <t xml:space="preserve">B1-7637</t>
  </si>
  <si>
    <t xml:space="preserve">B1-3504</t>
  </si>
  <si>
    <t xml:space="preserve">B1-1729</t>
  </si>
  <si>
    <t xml:space="preserve">B1-8468</t>
  </si>
  <si>
    <t xml:space="preserve">B1-2708</t>
  </si>
  <si>
    <t xml:space="preserve">B1-7716</t>
  </si>
  <si>
    <t xml:space="preserve">B1-4160</t>
  </si>
  <si>
    <t xml:space="preserve">B1-3776</t>
  </si>
  <si>
    <t xml:space="preserve">B1-1689</t>
  </si>
  <si>
    <t xml:space="preserve">B1-7970</t>
  </si>
  <si>
    <t xml:space="preserve">B1-2577</t>
  </si>
  <si>
    <t xml:space="preserve">B1-2078</t>
  </si>
  <si>
    <t xml:space="preserve">B1-2077</t>
  </si>
  <si>
    <t xml:space="preserve">B1-6475</t>
  </si>
  <si>
    <t xml:space="preserve">B1-9711</t>
  </si>
  <si>
    <t xml:space="preserve">B1-4469</t>
  </si>
  <si>
    <t xml:space="preserve">B2 — Válvula con retardo TON (Basico)</t>
  </si>
  <si>
    <t xml:space="preserve">Lee cada respuesta por su código en respuestas/Respuestas_B2.html. Rellena solo las celdas amarillas. Las azules vienen de CODESYS o se calculan solas. La fila EJEMPLO no se analiza.</t>
  </si>
  <si>
    <t xml:space="preserve">B2-9847</t>
  </si>
  <si>
    <t xml:space="preserve">Compila. Pasa los 6 pasos del harness.</t>
  </si>
  <si>
    <t xml:space="preserve">B2-6674</t>
  </si>
  <si>
    <t xml:space="preserve">B2-1651</t>
  </si>
  <si>
    <t xml:space="preserve">B2-3609</t>
  </si>
  <si>
    <t xml:space="preserve">B2-5560</t>
  </si>
  <si>
    <t xml:space="preserve">B2-5675</t>
  </si>
  <si>
    <t xml:space="preserve">B2-7015</t>
  </si>
  <si>
    <t xml:space="preserve">B2-6278</t>
  </si>
  <si>
    <t xml:space="preserve">B2-3727</t>
  </si>
  <si>
    <t xml:space="preserve">Compila. Falla 3 de 6 pasos del harness (pasos 1,2,4; numerados desde 0).</t>
  </si>
  <si>
    <t xml:space="preserve">B2-6755</t>
  </si>
  <si>
    <t xml:space="preserve">B2-7829</t>
  </si>
  <si>
    <t xml:space="preserve">B2-7426</t>
  </si>
  <si>
    <t xml:space="preserve">B2-8183</t>
  </si>
  <si>
    <t xml:space="preserve">B2-4395</t>
  </si>
  <si>
    <t xml:space="preserve">B2-4528</t>
  </si>
  <si>
    <t xml:space="preserve">B2-8816</t>
  </si>
  <si>
    <t xml:space="preserve">B2-9944</t>
  </si>
  <si>
    <t xml:space="preserve">B2-6018</t>
  </si>
  <si>
    <t xml:space="preserve">B2-4891</t>
  </si>
  <si>
    <t xml:space="preserve">Compila sola, pero no se pudo simular: declara las entradas donde el harness no puede escribirlas ('nivelAlto' no es ninguna entrada de 'FB_VALVULA').</t>
  </si>
  <si>
    <t xml:space="preserve">B2-3672</t>
  </si>
  <si>
    <t xml:space="preserve">B2-5243</t>
  </si>
  <si>
    <t xml:space="preserve">Compila. Falla 1 de 6 pasos del harness (pasos 1; numerados desde 0).</t>
  </si>
  <si>
    <t xml:space="preserve">B2-6383</t>
  </si>
  <si>
    <t xml:space="preserve">B2-2583</t>
  </si>
  <si>
    <t xml:space="preserve">B2-2211</t>
  </si>
  <si>
    <t xml:space="preserve">B3 — Contador de piezas con preset (Basico)</t>
  </si>
  <si>
    <t xml:space="preserve">Lee cada respuesta por su código en respuestas/Respuestas_B3.html. Rellena solo las celdas amarillas. Las azules vienen de CODESYS o se calculan solas. La fila EJEMPLO no se analiza.</t>
  </si>
  <si>
    <t xml:space="preserve">B3-6721</t>
  </si>
  <si>
    <t xml:space="preserve">B3-4690</t>
  </si>
  <si>
    <t xml:space="preserve">Compila. Falla 5 de 7 pasos del harness (pasos 1,2,3,4,5; numerados desde 0).</t>
  </si>
  <si>
    <t xml:space="preserve">B3-5495</t>
  </si>
  <si>
    <t xml:space="preserve">B3-6597</t>
  </si>
  <si>
    <t xml:space="preserve">B3-8516</t>
  </si>
  <si>
    <t xml:space="preserve">B3-4736</t>
  </si>
  <si>
    <t xml:space="preserve">B3-6421</t>
  </si>
  <si>
    <t xml:space="preserve">B3-8845</t>
  </si>
  <si>
    <t xml:space="preserve">B3-9202</t>
  </si>
  <si>
    <t xml:space="preserve">No compila (6 errores).</t>
  </si>
  <si>
    <t xml:space="preserve">B3-5228</t>
  </si>
  <si>
    <t xml:space="preserve">B3-2786</t>
  </si>
  <si>
    <t xml:space="preserve">B3-5689</t>
  </si>
  <si>
    <t xml:space="preserve">B3-3133</t>
  </si>
  <si>
    <t xml:space="preserve">B3-3078</t>
  </si>
  <si>
    <t xml:space="preserve">B3-8293</t>
  </si>
  <si>
    <t xml:space="preserve">B3-2446</t>
  </si>
  <si>
    <t xml:space="preserve">B3-6547</t>
  </si>
  <si>
    <t xml:space="preserve">B3-3429</t>
  </si>
  <si>
    <t xml:space="preserve">B3-6741</t>
  </si>
  <si>
    <t xml:space="preserve">B3-3465</t>
  </si>
  <si>
    <t xml:space="preserve">B3-4741</t>
  </si>
  <si>
    <t xml:space="preserve">B3-1730</t>
  </si>
  <si>
    <t xml:space="preserve">B3-6937</t>
  </si>
  <si>
    <t xml:space="preserve">Compila. Falla 3 de 7 pasos del harness (pasos 3,4,5; numerados desde 0).</t>
  </si>
  <si>
    <t xml:space="preserve">B3-2730</t>
  </si>
  <si>
    <t xml:space="preserve">B4 — Inversión de giro con enclavamiento cruzado (Basico)</t>
  </si>
  <si>
    <t xml:space="preserve">Lee cada respuesta por su código en respuestas/Respuestas_B4.html. Rellena solo las celdas amarillas. Las azules vienen de CODESYS o se calculan solas. La fila EJEMPLO no se analiza.</t>
  </si>
  <si>
    <t xml:space="preserve">B4-8136</t>
  </si>
  <si>
    <t xml:space="preserve">Compila. Falla 4 de 10 pasos del harness (pasos 3,4,7,9; numerados desde 0).</t>
  </si>
  <si>
    <t xml:space="preserve">B4-1620</t>
  </si>
  <si>
    <t xml:space="preserve">Compila. Pasa los 10 pasos del harness.</t>
  </si>
  <si>
    <t xml:space="preserve">B4-8880</t>
  </si>
  <si>
    <t xml:space="preserve">B4-9178</t>
  </si>
  <si>
    <t xml:space="preserve">B4-2076</t>
  </si>
  <si>
    <t xml:space="preserve">B4-2916</t>
  </si>
  <si>
    <t xml:space="preserve">B4-1844</t>
  </si>
  <si>
    <t xml:space="preserve">B4-9939</t>
  </si>
  <si>
    <t xml:space="preserve">Compila. Falla 3 de 10 pasos del harness (pasos 2,3,6; numerados desde 0).</t>
  </si>
  <si>
    <t xml:space="preserve">B4-9793</t>
  </si>
  <si>
    <t xml:space="preserve">Compila. Falla 2 de 10 pasos del harness (pasos 3,6; numerados desde 0).</t>
  </si>
  <si>
    <t xml:space="preserve">B4-5174</t>
  </si>
  <si>
    <t xml:space="preserve">B4-1107</t>
  </si>
  <si>
    <t xml:space="preserve">B4-2313</t>
  </si>
  <si>
    <t xml:space="preserve">B4-4978</t>
  </si>
  <si>
    <t xml:space="preserve">B4-6326</t>
  </si>
  <si>
    <t xml:space="preserve">B4-2461</t>
  </si>
  <si>
    <t xml:space="preserve">B4-9948</t>
  </si>
  <si>
    <t xml:space="preserve">B4-7421</t>
  </si>
  <si>
    <t xml:space="preserve">B4-1969</t>
  </si>
  <si>
    <t xml:space="preserve">B4-9599</t>
  </si>
  <si>
    <t xml:space="preserve">B4-3739</t>
  </si>
  <si>
    <t xml:space="preserve">Compila. Falla 1 de 10 pasos del harness (pasos 3; numerados desde 0).</t>
  </si>
  <si>
    <t xml:space="preserve">B4-1794</t>
  </si>
  <si>
    <t xml:space="preserve">B4-9025</t>
  </si>
  <si>
    <t xml:space="preserve">B4-7211</t>
  </si>
  <si>
    <t xml:space="preserve">B4-5930</t>
  </si>
  <si>
    <t xml:space="preserve">B5 — Ventilador con retardo a la desconexión (Basico)</t>
  </si>
  <si>
    <t xml:space="preserve">Lee cada respuesta por su código en respuestas/Respuestas_B5.html. Rellena solo las celdas amarillas. Las azules vienen de CODESYS o se calculan solas. La fila EJEMPLO no se analiza.</t>
  </si>
  <si>
    <t xml:space="preserve">B5-9290</t>
  </si>
  <si>
    <t xml:space="preserve">Compila. Pasa los 9 pasos del harness.</t>
  </si>
  <si>
    <t xml:space="preserve">B5-7090</t>
  </si>
  <si>
    <t xml:space="preserve">Compila. Falla 1 de 9 pasos del harness (pasos 0; numerados desde 0).</t>
  </si>
  <si>
    <t xml:space="preserve">B5-4470</t>
  </si>
  <si>
    <t xml:space="preserve">Compila sola, pero no se pudo simular: declara las entradas donde el harness no puede escribirlas ('quemadorOn' no es ninguna entrada de 'FB_VENTILADOR').</t>
  </si>
  <si>
    <t xml:space="preserve">B5-6632</t>
  </si>
  <si>
    <t xml:space="preserve">Compila. Falla 5 de 9 pasos del harness (pasos 2,3,5,7,8; numerados desde 0).</t>
  </si>
  <si>
    <t xml:space="preserve">B5-4246</t>
  </si>
  <si>
    <t xml:space="preserve">B5-2235</t>
  </si>
  <si>
    <t xml:space="preserve">B5-6715</t>
  </si>
  <si>
    <t xml:space="preserve">B5-8536</t>
  </si>
  <si>
    <t xml:space="preserve">Compila. Falla 3 de 9 pasos del harness (pasos 0,5,7; numerados desde 0).</t>
  </si>
  <si>
    <t xml:space="preserve">B5-8802</t>
  </si>
  <si>
    <t xml:space="preserve">B5-2103</t>
  </si>
  <si>
    <t xml:space="preserve">B5-3077</t>
  </si>
  <si>
    <t xml:space="preserve">B5-6054</t>
  </si>
  <si>
    <t xml:space="preserve">B5-6571</t>
  </si>
  <si>
    <t xml:space="preserve">B5-9947</t>
  </si>
  <si>
    <t xml:space="preserve">B5-4296</t>
  </si>
  <si>
    <t xml:space="preserve">B5-7882</t>
  </si>
  <si>
    <t xml:space="preserve">Compila. Falla 2 de 9 pasos del harness (pasos 0,7; numerados desde 0).</t>
  </si>
  <si>
    <t xml:space="preserve">B5-6010</t>
  </si>
  <si>
    <t xml:space="preserve">B5-8869</t>
  </si>
  <si>
    <t xml:space="preserve">B5-8798</t>
  </si>
  <si>
    <t xml:space="preserve">B5-2379</t>
  </si>
  <si>
    <t xml:space="preserve">B5-8170</t>
  </si>
  <si>
    <t xml:space="preserve">B5-2653</t>
  </si>
  <si>
    <t xml:space="preserve">B5-2367</t>
  </si>
  <si>
    <t xml:space="preserve">B5-3623</t>
  </si>
  <si>
    <t xml:space="preserve">Compila. Falla 3 de 9 pasos del harness (pasos 2,5,7; numerados desde 0).</t>
  </si>
  <si>
    <t xml:space="preserve">B6 — Baliza intermitente (Basico)</t>
  </si>
  <si>
    <t xml:space="preserve">Lee cada respuesta por su código en respuestas/Respuestas_B6.html. Rellena solo las celdas amarillas. Las azules vienen de CODESYS o se calculan solas. La fila EJEMPLO no se analiza.</t>
  </si>
  <si>
    <t xml:space="preserve">B6-4934</t>
  </si>
  <si>
    <t xml:space="preserve">Compila. Falla 1 de 3 pasos del harness (pasos 1; numerados desde 0).</t>
  </si>
  <si>
    <t xml:space="preserve">B6-2374</t>
  </si>
  <si>
    <t xml:space="preserve">B6-5301</t>
  </si>
  <si>
    <t xml:space="preserve">Compila. Pasa los 3 pasos del harness.</t>
  </si>
  <si>
    <t xml:space="preserve">B6-5850</t>
  </si>
  <si>
    <t xml:space="preserve">B6-8282</t>
  </si>
  <si>
    <t xml:space="preserve">B6-1513</t>
  </si>
  <si>
    <t xml:space="preserve">B6-5704</t>
  </si>
  <si>
    <t xml:space="preserve">B6-2528</t>
  </si>
  <si>
    <t xml:space="preserve">B6-6083</t>
  </si>
  <si>
    <t xml:space="preserve">B6-8430</t>
  </si>
  <si>
    <t xml:space="preserve">B6-6488</t>
  </si>
  <si>
    <t xml:space="preserve">B6-9731</t>
  </si>
  <si>
    <t xml:space="preserve">B6-2737</t>
  </si>
  <si>
    <t xml:space="preserve">B6-7900</t>
  </si>
  <si>
    <t xml:space="preserve">B6-3083</t>
  </si>
  <si>
    <t xml:space="preserve">B6-2545</t>
  </si>
  <si>
    <t xml:space="preserve">B6-7904</t>
  </si>
  <si>
    <t xml:space="preserve">B6-5267</t>
  </si>
  <si>
    <t xml:space="preserve">B6-2365</t>
  </si>
  <si>
    <t xml:space="preserve">B6-3667</t>
  </si>
  <si>
    <t xml:space="preserve">B6-7194</t>
  </si>
  <si>
    <t xml:space="preserve">B6-1976</t>
  </si>
  <si>
    <t xml:space="preserve">B6-9476</t>
  </si>
  <si>
    <t xml:space="preserve">B6-1094</t>
  </si>
  <si>
    <t xml:space="preserve">B7 — Selector manual/automático (POU a elección) (Basico)</t>
  </si>
  <si>
    <t xml:space="preserve">Lee cada respuesta por su código en respuestas/Respuestas_B7.html. Rellena solo las celdas amarillas. Las azules vienen de CODESYS o se calculan solas. La fila EJEMPLO no se analiza.</t>
  </si>
  <si>
    <t xml:space="preserve">B7-9815</t>
  </si>
  <si>
    <t xml:space="preserve">B7-2790</t>
  </si>
  <si>
    <t xml:space="preserve">B7-2011</t>
  </si>
  <si>
    <t xml:space="preserve">B7-9657</t>
  </si>
  <si>
    <t xml:space="preserve">B7-9128</t>
  </si>
  <si>
    <t xml:space="preserve">B7-4683</t>
  </si>
  <si>
    <t xml:space="preserve">B7-2454</t>
  </si>
  <si>
    <t xml:space="preserve">B7-5501</t>
  </si>
  <si>
    <t xml:space="preserve">B7-1125</t>
  </si>
  <si>
    <t xml:space="preserve">B7-3058</t>
  </si>
  <si>
    <t xml:space="preserve">B7-1392</t>
  </si>
  <si>
    <t xml:space="preserve">B7-8494</t>
  </si>
  <si>
    <t xml:space="preserve">B7-9820</t>
  </si>
  <si>
    <t xml:space="preserve">B7-5108</t>
  </si>
  <si>
    <t xml:space="preserve">B7-1829</t>
  </si>
  <si>
    <t xml:space="preserve">B7-4839</t>
  </si>
  <si>
    <t xml:space="preserve">Compila sola, pero no se pudo simular: declara las entradas donde el harness no puede escribirlas ('modoAuto' no es ninguna entrada de 'SELBOMBA').</t>
  </si>
  <si>
    <t xml:space="preserve">B7-7130</t>
  </si>
  <si>
    <t xml:space="preserve">B7-3281</t>
  </si>
  <si>
    <t xml:space="preserve">B7-2340</t>
  </si>
  <si>
    <t xml:space="preserve">B7-9455</t>
  </si>
  <si>
    <t xml:space="preserve">B7-4620</t>
  </si>
  <si>
    <t xml:space="preserve">B7-4833</t>
  </si>
  <si>
    <t xml:space="preserve">B7-3239</t>
  </si>
  <si>
    <t xml:space="preserve">B7-6425</t>
  </si>
  <si>
    <t xml:space="preserve">B8 — Conteo de eventos por flanco (Basico)</t>
  </si>
  <si>
    <t xml:space="preserve">Lee cada respuesta por su código en respuestas/Respuestas_B8.html. Rellena solo las celdas amarillas. Las azules vienen de CODESYS o se calculan solas. La fila EJEMPLO no se analiza.</t>
  </si>
  <si>
    <t xml:space="preserve">B8-2855</t>
  </si>
  <si>
    <t xml:space="preserve">B8-2057</t>
  </si>
  <si>
    <t xml:space="preserve">Compila. Falla 7 de 9 pasos del harness (pasos 1,2,3,4,5,6,8; numerados desde 0).</t>
  </si>
  <si>
    <t xml:space="preserve">B8-3959</t>
  </si>
  <si>
    <t xml:space="preserve">B8-6962</t>
  </si>
  <si>
    <t xml:space="preserve">B8-4908</t>
  </si>
  <si>
    <t xml:space="preserve">B8-3439</t>
  </si>
  <si>
    <t xml:space="preserve">B8-1092</t>
  </si>
  <si>
    <t xml:space="preserve">B8-3080</t>
  </si>
  <si>
    <t xml:space="preserve">B8-6589</t>
  </si>
  <si>
    <t xml:space="preserve">B8-2238</t>
  </si>
  <si>
    <t xml:space="preserve">B8-4457</t>
  </si>
  <si>
    <t xml:space="preserve">B8-7031</t>
  </si>
  <si>
    <t xml:space="preserve">B8-9508</t>
  </si>
  <si>
    <t xml:space="preserve">B8-3862</t>
  </si>
  <si>
    <t xml:space="preserve">B8-6907</t>
  </si>
  <si>
    <t xml:space="preserve">B8-1323</t>
  </si>
  <si>
    <t xml:space="preserve">B8-4753</t>
  </si>
  <si>
    <t xml:space="preserve">B8-5019</t>
  </si>
  <si>
    <t xml:space="preserve">B8-3064</t>
  </si>
  <si>
    <t xml:space="preserve">B8-8512</t>
  </si>
  <si>
    <t xml:space="preserve">B8-6800</t>
  </si>
  <si>
    <t xml:space="preserve">B8-9528</t>
  </si>
  <si>
    <t xml:space="preserve">B8-3270</t>
  </si>
  <si>
    <t xml:space="preserve">B8-2626</t>
  </si>
  <si>
    <t xml:space="preserve">I1 — Semáforo con secuencia temporizada (Intermedio)</t>
  </si>
  <si>
    <t xml:space="preserve">Lee cada respuesta por su código en respuestas/Respuestas_I1.html. Rellena solo las celdas amarillas. Las azules vienen de CODESYS o se calculan solas. La fila EJEMPLO no se analiza.</t>
  </si>
  <si>
    <t xml:space="preserve">I1-2135</t>
  </si>
  <si>
    <t xml:space="preserve">I1-7364</t>
  </si>
  <si>
    <t xml:space="preserve">Compila. Falla 6 de 9 pasos del harness (pasos 0,2,3,6,7,8; numerados desde 0).</t>
  </si>
  <si>
    <t xml:space="preserve">I1-5111</t>
  </si>
  <si>
    <t xml:space="preserve">Compila. Falla 1 de 9 pasos del harness (pasos 7; numerados desde 0).</t>
  </si>
  <si>
    <t xml:space="preserve">I1-7969</t>
  </si>
  <si>
    <t xml:space="preserve">Compila. Falla 7 de 9 pasos del harness (pasos 2,3,4,5,6,7,8; numerados desde 0).</t>
  </si>
  <si>
    <t xml:space="preserve">I1-5434</t>
  </si>
  <si>
    <t xml:space="preserve">I1-7084</t>
  </si>
  <si>
    <t xml:space="preserve">I1-2168</t>
  </si>
  <si>
    <t xml:space="preserve">I1-3359</t>
  </si>
  <si>
    <t xml:space="preserve">I1-8741</t>
  </si>
  <si>
    <t xml:space="preserve">Compila sola, pero no se pudo simular: declara las entradas donde el harness no puede escribirlas ('habilitado' no es ninguna entrada de 'FB_SEMAFORO').</t>
  </si>
  <si>
    <t xml:space="preserve">I1-4990</t>
  </si>
  <si>
    <t xml:space="preserve">I1-8830</t>
  </si>
  <si>
    <t xml:space="preserve">I1-7322</t>
  </si>
  <si>
    <t xml:space="preserve">I1-3250</t>
  </si>
  <si>
    <t xml:space="preserve">I1-3464</t>
  </si>
  <si>
    <t xml:space="preserve">I1-8420</t>
  </si>
  <si>
    <t xml:space="preserve">Compila. Falla 8 de 9 pasos del harness (pasos 1,2,3,4,5,6,7,8; numerados desde 0).</t>
  </si>
  <si>
    <t xml:space="preserve">I1-5295</t>
  </si>
  <si>
    <t xml:space="preserve">I1-8541</t>
  </si>
  <si>
    <t xml:space="preserve">I1-4916</t>
  </si>
  <si>
    <t xml:space="preserve">No compila (20 errores).</t>
  </si>
  <si>
    <t xml:space="preserve">I1-5056</t>
  </si>
  <si>
    <t xml:space="preserve">I1-1955</t>
  </si>
  <si>
    <t xml:space="preserve">I1-8761</t>
  </si>
  <si>
    <t xml:space="preserve">Compila. Falla 6 de 9 pasos del harness (pasos 0,2,3,5,6,7; numerados desde 0).</t>
  </si>
  <si>
    <t xml:space="preserve">I1-4511</t>
  </si>
  <si>
    <t xml:space="preserve">I1-4945</t>
  </si>
  <si>
    <t xml:space="preserve">I1-3124</t>
  </si>
  <si>
    <t xml:space="preserve">I2 — FSM de llenado multietapa (Intermedio)</t>
  </si>
  <si>
    <t xml:space="preserve">Lee cada respuesta por su código en respuestas/Respuestas_I2.html. Rellena solo las celdas amarillas. Las azules vienen de CODESYS o se calculan solas. La fila EJEMPLO no se analiza.</t>
  </si>
  <si>
    <t xml:space="preserve">I2-2212</t>
  </si>
  <si>
    <t xml:space="preserve">Compila. Falla 4 de 12 pasos del harness (pasos 4,5,6,9; numerados desde 0).</t>
  </si>
  <si>
    <t xml:space="preserve">I2-8131</t>
  </si>
  <si>
    <t xml:space="preserve">Compila. Pasa los 12 pasos del harness.</t>
  </si>
  <si>
    <t xml:space="preserve">I2-4370</t>
  </si>
  <si>
    <t xml:space="preserve">Compila. Falla 2 de 12 pasos del harness (pasos 2,3; numerados desde 0).</t>
  </si>
  <si>
    <t xml:space="preserve">I2-4324</t>
  </si>
  <si>
    <t xml:space="preserve">Compila. Falla 7 de 12 pasos del harness (pasos 2,3,4,5,6,9,11; numerados desde 0).</t>
  </si>
  <si>
    <t xml:space="preserve">I2-4540</t>
  </si>
  <si>
    <t xml:space="preserve">Compila. Falla 4 de 12 pasos del harness (pasos 2,3,4,9; numerados desde 0).</t>
  </si>
  <si>
    <t xml:space="preserve">I2-3499</t>
  </si>
  <si>
    <t xml:space="preserve">I2-9002</t>
  </si>
  <si>
    <t xml:space="preserve">I2-4041</t>
  </si>
  <si>
    <t xml:space="preserve">I2-9360</t>
  </si>
  <si>
    <t xml:space="preserve">I2-4337</t>
  </si>
  <si>
    <t xml:space="preserve">I2-3432</t>
  </si>
  <si>
    <t xml:space="preserve">Compila sola, pero no se pudo simular: declara las entradas donde el harness no puede escribirlas ('nivelAlto' no es ninguna entrada de 'FB_LLENADO').</t>
  </si>
  <si>
    <t xml:space="preserve">I2-3102</t>
  </si>
  <si>
    <t xml:space="preserve">No compila (2 errores).</t>
  </si>
  <si>
    <t xml:space="preserve">I2-7023</t>
  </si>
  <si>
    <t xml:space="preserve">I2-4582</t>
  </si>
  <si>
    <t xml:space="preserve">I2-9998</t>
  </si>
  <si>
    <t xml:space="preserve">I2-3377</t>
  </si>
  <si>
    <t xml:space="preserve">I2-1039</t>
  </si>
  <si>
    <t xml:space="preserve">Compila. Falla 5 de 12 pasos del harness (pasos 2,3,4,5,9; numerados desde 0).</t>
  </si>
  <si>
    <t xml:space="preserve">I2-2195</t>
  </si>
  <si>
    <t xml:space="preserve">Compila. Falla 3 de 12 pasos del harness (pasos 4,5,6; numerados desde 0).</t>
  </si>
  <si>
    <t xml:space="preserve">I2-5294</t>
  </si>
  <si>
    <t xml:space="preserve">I2-5330</t>
  </si>
  <si>
    <t xml:space="preserve">I2-9686</t>
  </si>
  <si>
    <t xml:space="preserve">I2-7180</t>
  </si>
  <si>
    <t xml:space="preserve">I2-8425</t>
  </si>
  <si>
    <t xml:space="preserve">I2-6794</t>
  </si>
  <si>
    <t xml:space="preserve">Compila. Falla 3 de 12 pasos del harness (pasos 2,3,9; numerados desde 0).</t>
  </si>
  <si>
    <t xml:space="preserve">I3 — Gestión de alarmas con prioridad (Intermedio)</t>
  </si>
  <si>
    <t xml:space="preserve">Lee cada respuesta por su código en respuestas/Respuestas_I3.html. Rellena solo las celdas amarillas. Las azules vienen de CODESYS o se calculan solas. La fila EJEMPLO no se analiza.</t>
  </si>
  <si>
    <t xml:space="preserve">I3-8823</t>
  </si>
  <si>
    <t xml:space="preserve">I3-1249</t>
  </si>
  <si>
    <t xml:space="preserve">I3-2429</t>
  </si>
  <si>
    <t xml:space="preserve">I3-2584</t>
  </si>
  <si>
    <t xml:space="preserve">I3-9331</t>
  </si>
  <si>
    <t xml:space="preserve">I3-6376</t>
  </si>
  <si>
    <t xml:space="preserve">Compila. Falla 2 de 10 pasos del harness (pasos 2,3; numerados desde 0).</t>
  </si>
  <si>
    <t xml:space="preserve">I3-8129</t>
  </si>
  <si>
    <t xml:space="preserve">I3-2453</t>
  </si>
  <si>
    <t xml:space="preserve">I3-5104</t>
  </si>
  <si>
    <t xml:space="preserve">I3-3183</t>
  </si>
  <si>
    <t xml:space="preserve">I3-8600</t>
  </si>
  <si>
    <t xml:space="preserve">I3-6496</t>
  </si>
  <si>
    <t xml:space="preserve">I3-4378</t>
  </si>
  <si>
    <t xml:space="preserve">I3-1066</t>
  </si>
  <si>
    <t xml:space="preserve">I3-1113</t>
  </si>
  <si>
    <t xml:space="preserve">I3-9934</t>
  </si>
  <si>
    <t xml:space="preserve">I3-7296</t>
  </si>
  <si>
    <t xml:space="preserve">I3-3545</t>
  </si>
  <si>
    <t xml:space="preserve">I3-7173</t>
  </si>
  <si>
    <t xml:space="preserve">I3-9721</t>
  </si>
  <si>
    <t xml:space="preserve">I3-2759</t>
  </si>
  <si>
    <t xml:space="preserve">I3-4645</t>
  </si>
  <si>
    <t xml:space="preserve">I3-1393</t>
  </si>
  <si>
    <t xml:space="preserve">I3-4818</t>
  </si>
  <si>
    <t xml:space="preserve">I4 — Arranque estrella-triángulo (Intermedio)</t>
  </si>
  <si>
    <t xml:space="preserve">Lee cada respuesta por su código en respuestas/Respuestas_I4.html. Rellena solo las celdas amarillas. Las azules vienen de CODESYS o se calculan solas. La fila EJEMPLO no se analiza.</t>
  </si>
  <si>
    <t xml:space="preserve">I4-2611</t>
  </si>
  <si>
    <t xml:space="preserve">I4-7007</t>
  </si>
  <si>
    <t xml:space="preserve">Compila sola, pero no se pudo simular: declara las entradas donde el harness no puede escribirlas ('btnMarcha' no es ninguna entrada de 'FB_ESTRELLATRIANGULO').</t>
  </si>
  <si>
    <t xml:space="preserve">I4-5661</t>
  </si>
  <si>
    <t xml:space="preserve">Compila. Falla 2 de 6 pasos del harness (pasos 1,3; numerados desde 0).</t>
  </si>
  <si>
    <t xml:space="preserve">I4-1792</t>
  </si>
  <si>
    <t xml:space="preserve">I4-7740</t>
  </si>
  <si>
    <t xml:space="preserve">Compila. Falla 3 de 6 pasos del harness (pasos 2,3,4; numerados desde 0).</t>
  </si>
  <si>
    <t xml:space="preserve">I4-3109</t>
  </si>
  <si>
    <t xml:space="preserve">Compila. Falla 3 de 6 pasos del harness (pasos 2,3,5; numerados desde 0).</t>
  </si>
  <si>
    <t xml:space="preserve">I4-4531</t>
  </si>
  <si>
    <t xml:space="preserve">I4-6607</t>
  </si>
  <si>
    <t xml:space="preserve">I4-6264</t>
  </si>
  <si>
    <t xml:space="preserve">I4-2405</t>
  </si>
  <si>
    <t xml:space="preserve">I4-2644</t>
  </si>
  <si>
    <t xml:space="preserve">I4-1547</t>
  </si>
  <si>
    <t xml:space="preserve">I4-6164</t>
  </si>
  <si>
    <t xml:space="preserve">I4-8729</t>
  </si>
  <si>
    <t xml:space="preserve">Compila. Falla 2 de 6 pasos del harness (pasos 2,3; numerados desde 0).</t>
  </si>
  <si>
    <t xml:space="preserve">I4-6563</t>
  </si>
  <si>
    <t xml:space="preserve">I4-4147</t>
  </si>
  <si>
    <t xml:space="preserve">I4-3062</t>
  </si>
  <si>
    <t xml:space="preserve">I4-2763</t>
  </si>
  <si>
    <t xml:space="preserve">Compila. Falla 1 de 6 pasos del harness (pasos 5; numerados desde 0).</t>
  </si>
  <si>
    <t xml:space="preserve">I4-8365</t>
  </si>
  <si>
    <t xml:space="preserve">I4-2920</t>
  </si>
  <si>
    <t xml:space="preserve">I4-7806</t>
  </si>
  <si>
    <t xml:space="preserve">I4-7176</t>
  </si>
  <si>
    <t xml:space="preserve">I4-8454</t>
  </si>
  <si>
    <t xml:space="preserve">I4-1208</t>
  </si>
  <si>
    <t xml:space="preserve">I5 — Banda con clasificación por sensores (Intermedio)</t>
  </si>
  <si>
    <t xml:space="preserve">Lee cada respuesta por su código en respuestas/Respuestas_I5.html. Rellena solo las celdas amarillas. Las azules vienen de CODESYS o se calculan solas. La fila EJEMPLO no se analiza.</t>
  </si>
  <si>
    <t xml:space="preserve">I5-9795</t>
  </si>
  <si>
    <t xml:space="preserve">I5-6031</t>
  </si>
  <si>
    <t xml:space="preserve">I5-2725</t>
  </si>
  <si>
    <t xml:space="preserve">No compila (4 errores).</t>
  </si>
  <si>
    <t xml:space="preserve">I5-5960</t>
  </si>
  <si>
    <t xml:space="preserve">I5-5429</t>
  </si>
  <si>
    <t xml:space="preserve">I5-7024</t>
  </si>
  <si>
    <t xml:space="preserve">I5-3559</t>
  </si>
  <si>
    <t xml:space="preserve">Compila. Falla 6 de 7 pasos del harness (pasos 1,2,3,4,5,6; numerados desde 0).</t>
  </si>
  <si>
    <t xml:space="preserve">I5-2602</t>
  </si>
  <si>
    <t xml:space="preserve">I5-3769</t>
  </si>
  <si>
    <t xml:space="preserve">I5-4146</t>
  </si>
  <si>
    <t xml:space="preserve">Compila. Falla 4 de 7 pasos del harness (pasos 3,4,5,6; numerados desde 0).</t>
  </si>
  <si>
    <t xml:space="preserve">I5-8743</t>
  </si>
  <si>
    <t xml:space="preserve">I5-3551</t>
  </si>
  <si>
    <t xml:space="preserve">Compila. Falla 7 de 7 pasos del harness (pasos 0,1,2,3,4,5,6; numerados desde 0).</t>
  </si>
  <si>
    <t xml:space="preserve">I5-3570</t>
  </si>
  <si>
    <t xml:space="preserve">I5-9566</t>
  </si>
  <si>
    <t xml:space="preserve">I5-2807</t>
  </si>
  <si>
    <t xml:space="preserve">I5-9964</t>
  </si>
  <si>
    <t xml:space="preserve">I5-4776</t>
  </si>
  <si>
    <t xml:space="preserve">I5-8715</t>
  </si>
  <si>
    <t xml:space="preserve">Compila. Falla 1 de 7 pasos del harness (pasos 5; numerados desde 0).</t>
  </si>
  <si>
    <t xml:space="preserve">I5-6743</t>
  </si>
  <si>
    <t xml:space="preserve">I5-6738</t>
  </si>
  <si>
    <t xml:space="preserve">I5-6315</t>
  </si>
  <si>
    <t xml:space="preserve">I5-3665</t>
  </si>
  <si>
    <t xml:space="preserve">I5-2293</t>
  </si>
  <si>
    <t xml:space="preserve">I5-8675</t>
  </si>
  <si>
    <t xml:space="preserve">I6 — Escalado analógico con histéresis (Intermedio)</t>
  </si>
  <si>
    <t xml:space="preserve">Lee cada respuesta por su código en respuestas/Respuestas_I6.html. Rellena solo las celdas amarillas. Las azules vienen de CODESYS o se calculan solas. La fila EJEMPLO no se analiza.</t>
  </si>
  <si>
    <t xml:space="preserve">I6-6450</t>
  </si>
  <si>
    <t xml:space="preserve">Compila. Pasa los 8 pasos del harness.</t>
  </si>
  <si>
    <t xml:space="preserve">I6-3905</t>
  </si>
  <si>
    <t xml:space="preserve">I6-1333</t>
  </si>
  <si>
    <t xml:space="preserve">I6-1644</t>
  </si>
  <si>
    <t xml:space="preserve">No compila (7 errores).</t>
  </si>
  <si>
    <t xml:space="preserve">I6-4554</t>
  </si>
  <si>
    <t xml:space="preserve">I6-4640</t>
  </si>
  <si>
    <t xml:space="preserve">I6-5227</t>
  </si>
  <si>
    <t xml:space="preserve">I6-1990</t>
  </si>
  <si>
    <t xml:space="preserve">I6-8944</t>
  </si>
  <si>
    <t xml:space="preserve">I6-2466</t>
  </si>
  <si>
    <t xml:space="preserve">I6-7405</t>
  </si>
  <si>
    <t xml:space="preserve">I6-4763</t>
  </si>
  <si>
    <t xml:space="preserve">I6-2631</t>
  </si>
  <si>
    <t xml:space="preserve">I6-5219</t>
  </si>
  <si>
    <t xml:space="preserve">I6-8502</t>
  </si>
  <si>
    <t xml:space="preserve">I6-1774</t>
  </si>
  <si>
    <t xml:space="preserve">I6-7940</t>
  </si>
  <si>
    <t xml:space="preserve">I6-9872</t>
  </si>
  <si>
    <t xml:space="preserve">I6-7606</t>
  </si>
  <si>
    <t xml:space="preserve">I6-9273</t>
  </si>
  <si>
    <t xml:space="preserve">I6-9365</t>
  </si>
  <si>
    <t xml:space="preserve">I6-4205</t>
  </si>
  <si>
    <t xml:space="preserve">I6-1860</t>
  </si>
  <si>
    <t xml:space="preserve">Compila. Falla 1 de 8 pasos del harness (pasos 3; numerados desde 0).</t>
  </si>
  <si>
    <t xml:space="preserve">I6-9306</t>
  </si>
  <si>
    <t xml:space="preserve">I7 — Bombas dúplex con alternancia (Intermedio)</t>
  </si>
  <si>
    <t xml:space="preserve">Lee cada respuesta por su código en respuestas/Respuestas_I7.html. Rellena solo las celdas amarillas. Las azules vienen de CODESYS o se calculan solas. La fila EJEMPLO no se analiza.</t>
  </si>
  <si>
    <t xml:space="preserve">I7-1859</t>
  </si>
  <si>
    <t xml:space="preserve">Compila. Falla 8 de 14 pasos del harness (pasos 1,3,5,6,7,8,11,12; numerados desde 0).</t>
  </si>
  <si>
    <t xml:space="preserve">I7-5823</t>
  </si>
  <si>
    <t xml:space="preserve">Compila. Pasa los 14 pasos del harness.</t>
  </si>
  <si>
    <t xml:space="preserve">I7-2190</t>
  </si>
  <si>
    <t xml:space="preserve">I7-6860</t>
  </si>
  <si>
    <t xml:space="preserve">I7-5664</t>
  </si>
  <si>
    <t xml:space="preserve">Compila. Falla 5 de 14 pasos del harness (pasos 1,5,6,7,8; numerados desde 0).</t>
  </si>
  <si>
    <t xml:space="preserve">I7-4023</t>
  </si>
  <si>
    <t xml:space="preserve">I7-8200</t>
  </si>
  <si>
    <t xml:space="preserve">I7-7155</t>
  </si>
  <si>
    <t xml:space="preserve">Compila. Falla 4 de 14 pasos del harness (pasos 3,10,11,12; numerados desde 0).</t>
  </si>
  <si>
    <t xml:space="preserve">I7-3525</t>
  </si>
  <si>
    <t xml:space="preserve">Compila. Falla 5 de 14 pasos del harness (pasos 3,6,8,9,11; numerados desde 0).</t>
  </si>
  <si>
    <t xml:space="preserve">I7-7598</t>
  </si>
  <si>
    <t xml:space="preserve">Compila. Falla 6 de 14 pasos del harness (pasos 1,5,6,7,8,9; numerados desde 0).</t>
  </si>
  <si>
    <t xml:space="preserve">I7-1736</t>
  </si>
  <si>
    <t xml:space="preserve">I7-8285</t>
  </si>
  <si>
    <t xml:space="preserve">Compila. Falla 6 de 14 pasos del harness (pasos 3,6,7,8,9,11; numerados desde 0).</t>
  </si>
  <si>
    <t xml:space="preserve">I7-8111</t>
  </si>
  <si>
    <t xml:space="preserve">I7-5182</t>
  </si>
  <si>
    <t xml:space="preserve">I7-2045</t>
  </si>
  <si>
    <t xml:space="preserve">Compila. Falla 1 de 14 pasos del harness (pasos 9; numerados desde 0).</t>
  </si>
  <si>
    <t xml:space="preserve">I7-3489</t>
  </si>
  <si>
    <t xml:space="preserve">I7-3883</t>
  </si>
  <si>
    <t xml:space="preserve">I7-1098</t>
  </si>
  <si>
    <t xml:space="preserve">I7-6285</t>
  </si>
  <si>
    <t xml:space="preserve">I7-2100</t>
  </si>
  <si>
    <t xml:space="preserve">I7-1170</t>
  </si>
  <si>
    <t xml:space="preserve">Compila. Falla 10 de 14 pasos del harness (pasos 2,4,5,6,7,8,9,11,12,13; numerados desde 0).</t>
  </si>
  <si>
    <t xml:space="preserve">I7-8887</t>
  </si>
  <si>
    <t xml:space="preserve">I7-7783</t>
  </si>
  <si>
    <t xml:space="preserve">I7-7378</t>
  </si>
  <si>
    <t xml:space="preserve">I8 — Permisivos de arranque de compresor (Intermedio)</t>
  </si>
  <si>
    <t xml:space="preserve">Lee cada respuesta por su código en respuestas/Respuestas_I8.html. Rellena solo las celdas amarillas. Las azules vienen de CODESYS o se calculan solas. La fila EJEMPLO no se analiza.</t>
  </si>
  <si>
    <t xml:space="preserve">I8-2589</t>
  </si>
  <si>
    <t xml:space="preserve">Compila. Pasa los 19 pasos del harness.</t>
  </si>
  <si>
    <t xml:space="preserve">I8-1720</t>
  </si>
  <si>
    <t xml:space="preserve">I8-2766</t>
  </si>
  <si>
    <t xml:space="preserve">Compila sola, pero no se pudo simular: declara las entradas donde el harness no puede escribirlas ('pOilOk' no es ninguna entrada de 'FB_COMPRESOR').</t>
  </si>
  <si>
    <t xml:space="preserve">I8-6340</t>
  </si>
  <si>
    <t xml:space="preserve">Compila. Falla 3 de 19 pasos del harness (pasos 1,13,18; numerados desde 0).</t>
  </si>
  <si>
    <t xml:space="preserve">I8-8577</t>
  </si>
  <si>
    <t xml:space="preserve">Compila. Falla 7 de 19 pasos del harness (pasos 1,3,4,10,13,16,18; numerados desde 0).</t>
  </si>
  <si>
    <t xml:space="preserve">I8-7161</t>
  </si>
  <si>
    <t xml:space="preserve">I8-2865</t>
  </si>
  <si>
    <t xml:space="preserve">I8-4028</t>
  </si>
  <si>
    <t xml:space="preserve">I8-4361</t>
  </si>
  <si>
    <t xml:space="preserve">I8-3472</t>
  </si>
  <si>
    <t xml:space="preserve">I8-9074</t>
  </si>
  <si>
    <t xml:space="preserve">I8-1307</t>
  </si>
  <si>
    <t xml:space="preserve">Compila. Falla 9 de 19 pasos del harness (pasos 5,6,11,12,13,14,15,17,18; numerados desde 0).</t>
  </si>
  <si>
    <t xml:space="preserve">I8-3657</t>
  </si>
  <si>
    <t xml:space="preserve">Compila. Falla 9 de 19 pasos del harness (pasos 1,3,4,10,13,14,15,17,18; numerados desde 0).</t>
  </si>
  <si>
    <t xml:space="preserve">I8-7627</t>
  </si>
  <si>
    <t xml:space="preserve">Compila. Falla 8 de 19 pasos del harness (pasos 1,7,8,9,13,14,15,18; numerados desde 0).</t>
  </si>
  <si>
    <t xml:space="preserve">I8-3596</t>
  </si>
  <si>
    <t xml:space="preserve">I8-1205</t>
  </si>
  <si>
    <t xml:space="preserve">No compila (5 errores).</t>
  </si>
  <si>
    <t xml:space="preserve">I8-9515</t>
  </si>
  <si>
    <t xml:space="preserve">Compila. Falla 10 de 19 pasos del harness (pasos 1,5,6,11,12,13,14,15,17,18; numerados desde 0).</t>
  </si>
  <si>
    <t xml:space="preserve">I8-4489</t>
  </si>
  <si>
    <t xml:space="preserve">I8-5557</t>
  </si>
  <si>
    <t xml:space="preserve">I8-5917</t>
  </si>
  <si>
    <t xml:space="preserve">I8-6693</t>
  </si>
  <si>
    <t xml:space="preserve">I8-5439</t>
  </si>
  <si>
    <t xml:space="preserve">I8-4402</t>
  </si>
  <si>
    <t xml:space="preserve">I8-1759</t>
  </si>
  <si>
    <t xml:space="preserve">A1 — Controlador PID con anti-windup (Avanzado)</t>
  </si>
  <si>
    <t xml:space="preserve">Lee cada respuesta por su código en respuestas/Respuestas_A1.html. Rellena solo las celdas amarillas. Las azules vienen de CODESYS o se calculan solas. La fila EJEMPLO no se analiza.</t>
  </si>
  <si>
    <t xml:space="preserve">A1-9962</t>
  </si>
  <si>
    <t xml:space="preserve">Compila. Pasa los 11 pasos del harness.</t>
  </si>
  <si>
    <t xml:space="preserve">A1-1725</t>
  </si>
  <si>
    <t xml:space="preserve">No compila (32 errores).</t>
  </si>
  <si>
    <t xml:space="preserve">A1-9421</t>
  </si>
  <si>
    <t xml:space="preserve">No compila (29 errores).</t>
  </si>
  <si>
    <t xml:space="preserve">A1-8114</t>
  </si>
  <si>
    <t xml:space="preserve">No compila (24 errores).</t>
  </si>
  <si>
    <t xml:space="preserve">A1-6268</t>
  </si>
  <si>
    <t xml:space="preserve">No compila (18 errores).</t>
  </si>
  <si>
    <t xml:space="preserve">A1-7933</t>
  </si>
  <si>
    <t xml:space="preserve">No compila (27 errores).</t>
  </si>
  <si>
    <t xml:space="preserve">A1-7927</t>
  </si>
  <si>
    <t xml:space="preserve">No compila (30 errores).</t>
  </si>
  <si>
    <t xml:space="preserve">A1-6125</t>
  </si>
  <si>
    <t xml:space="preserve">No compila (23 errores).</t>
  </si>
  <si>
    <t xml:space="preserve">A1-3038</t>
  </si>
  <si>
    <t xml:space="preserve">A1-7444</t>
  </si>
  <si>
    <t xml:space="preserve">A1-7874</t>
  </si>
  <si>
    <t xml:space="preserve">No compila (17 errores).</t>
  </si>
  <si>
    <t xml:space="preserve">A1-9190</t>
  </si>
  <si>
    <t xml:space="preserve">No compila (25 errores).</t>
  </si>
  <si>
    <t xml:space="preserve">A1-6243</t>
  </si>
  <si>
    <t xml:space="preserve">A1-6380</t>
  </si>
  <si>
    <t xml:space="preserve">A1-5398</t>
  </si>
  <si>
    <t xml:space="preserve">A1-9749</t>
  </si>
  <si>
    <t xml:space="preserve">No compila (16 errores).</t>
  </si>
  <si>
    <t xml:space="preserve">A1-9704</t>
  </si>
  <si>
    <t xml:space="preserve">A1-6233</t>
  </si>
  <si>
    <t xml:space="preserve">A1-7633</t>
  </si>
  <si>
    <t xml:space="preserve">No compila (28 errores).</t>
  </si>
  <si>
    <t xml:space="preserve">A1-5864</t>
  </si>
  <si>
    <t xml:space="preserve">No compila (11 errores).</t>
  </si>
  <si>
    <t xml:space="preserve">A1-5313</t>
  </si>
  <si>
    <t xml:space="preserve">A1-2241</t>
  </si>
  <si>
    <t xml:space="preserve">A1-6805</t>
  </si>
  <si>
    <t xml:space="preserve">A1-8493</t>
  </si>
  <si>
    <t xml:space="preserve">A2 — Control por lotes multifase (Avanzado)</t>
  </si>
  <si>
    <t xml:space="preserve">Lee cada respuesta por su código en respuestas/Respuestas_A2.html. Rellena solo las celdas amarillas. Las azules vienen de CODESYS o se calculan solas. La fila EJEMPLO no se analiza.</t>
  </si>
  <si>
    <t xml:space="preserve">A2-8363</t>
  </si>
  <si>
    <t xml:space="preserve">Compila. Pasa los 25 pasos del harness.</t>
  </si>
  <si>
    <t xml:space="preserve">A2-7833</t>
  </si>
  <si>
    <t xml:space="preserve">A2-7551</t>
  </si>
  <si>
    <t xml:space="preserve">A2-3687</t>
  </si>
  <si>
    <t xml:space="preserve">A2-2878</t>
  </si>
  <si>
    <t xml:space="preserve">Compila. Falla 5 de 25 pasos del harness (pasos 8,9,10,11,12; numerados desde 0).</t>
  </si>
  <si>
    <t xml:space="preserve">A2-1185</t>
  </si>
  <si>
    <t xml:space="preserve">A2-7260</t>
  </si>
  <si>
    <t xml:space="preserve">A2-5299</t>
  </si>
  <si>
    <t xml:space="preserve">Compila. Falla 2 de 25 pasos del harness (pasos 8,9; numerados desde 0).</t>
  </si>
  <si>
    <t xml:space="preserve">A2-3859</t>
  </si>
  <si>
    <t xml:space="preserve">A2-7745</t>
  </si>
  <si>
    <t xml:space="preserve">A2-4520</t>
  </si>
  <si>
    <t xml:space="preserve">Compila. Falla 10 de 25 pasos del harness (pasos 8,9,17,18,19,20,21,22,23,24; numerados desde 0).</t>
  </si>
  <si>
    <t xml:space="preserve">A2-5579</t>
  </si>
  <si>
    <t xml:space="preserve">A2-5565</t>
  </si>
  <si>
    <t xml:space="preserve">A2-8269</t>
  </si>
  <si>
    <t xml:space="preserve">A2-8208</t>
  </si>
  <si>
    <t xml:space="preserve">A2-3851</t>
  </si>
  <si>
    <t xml:space="preserve">A2-2820</t>
  </si>
  <si>
    <t xml:space="preserve">A2-4087</t>
  </si>
  <si>
    <t xml:space="preserve">A2-5337</t>
  </si>
  <si>
    <t xml:space="preserve">A2-4573</t>
  </si>
  <si>
    <t xml:space="preserve">No compila (1 errores).</t>
  </si>
  <si>
    <t xml:space="preserve">A2-2424</t>
  </si>
  <si>
    <t xml:space="preserve">A2-8499</t>
  </si>
  <si>
    <t xml:space="preserve">A2-5655</t>
  </si>
  <si>
    <t xml:space="preserve">Compila. Falla 9 de 25 pasos del harness (pasos 1,2,3,4,5,6,7,8,9; numerados desde 0).</t>
  </si>
  <si>
    <t xml:space="preserve">A2-2376</t>
  </si>
  <si>
    <t xml:space="preserve">A3 — Protocolo de comunicación con reintentos (Avanzado)</t>
  </si>
  <si>
    <t xml:space="preserve">Lee cada respuesta por su código en respuestas/Respuestas_A3.html. Rellena solo las celdas amarillas. Las azules vienen de CODESYS o se calculan solas. La fila EJEMPLO no se analiza.</t>
  </si>
  <si>
    <t xml:space="preserve">A3-3230</t>
  </si>
  <si>
    <t xml:space="preserve">Compila. Pasa los 15 pasos del harness.</t>
  </si>
  <si>
    <t xml:space="preserve">A3-6022</t>
  </si>
  <si>
    <t xml:space="preserve">A3-6512</t>
  </si>
  <si>
    <t xml:space="preserve">Compila. Falla 4 de 15 pasos del harness (pasos 3,4,5,9; numerados desde 0).</t>
  </si>
  <si>
    <t xml:space="preserve">A3-7512</t>
  </si>
  <si>
    <t xml:space="preserve">Compila sola, pero no se pudo simular: declara las entradas donde el harness no puede escribirlas ('txReq' no es ninguna entrada de 'FB_COM').</t>
  </si>
  <si>
    <t xml:space="preserve">A3-3622</t>
  </si>
  <si>
    <t xml:space="preserve">A3-3184</t>
  </si>
  <si>
    <t xml:space="preserve">A3-4953</t>
  </si>
  <si>
    <t xml:space="preserve">A3-3351</t>
  </si>
  <si>
    <t xml:space="preserve">Compila. Falla 12 de 15 pasos del harness (pasos 3,4,5,6,7,8,9,10,11,12,13,14; numerados desde 0).</t>
  </si>
  <si>
    <t xml:space="preserve">A3-5168</t>
  </si>
  <si>
    <t xml:space="preserve">A3-6493</t>
  </si>
  <si>
    <t xml:space="preserve">A3-4439</t>
  </si>
  <si>
    <t xml:space="preserve">A3-9003</t>
  </si>
  <si>
    <t xml:space="preserve">Compila. Falla 4 de 15 pasos del harness (pasos 7,8,9,10; numerados desde 0).</t>
  </si>
  <si>
    <t xml:space="preserve">A3-4115</t>
  </si>
  <si>
    <t xml:space="preserve">Compila. Falla 10 de 15 pasos del harness (pasos 3,4,5,6,7,8,10,12,13,14; numerados desde 0).</t>
  </si>
  <si>
    <t xml:space="preserve">A3-8801</t>
  </si>
  <si>
    <t xml:space="preserve">Compila. Falla 9 de 15 pasos del harness (pasos 3,4,5,7,8,9,10,11,14; numerados desde 0).</t>
  </si>
  <si>
    <t xml:space="preserve">A3-7866</t>
  </si>
  <si>
    <t xml:space="preserve">A3-1699</t>
  </si>
  <si>
    <t xml:space="preserve">A3-8606</t>
  </si>
  <si>
    <t xml:space="preserve">A3-8784</t>
  </si>
  <si>
    <t xml:space="preserve">Compila. Falla 14 de 15 pasos del harness (pasos 1,2,3,4,5,6,7,8,9,10,11,12,13,14; numerados desde 0).</t>
  </si>
  <si>
    <t xml:space="preserve">A3-1381</t>
  </si>
  <si>
    <t xml:space="preserve">A3-5401</t>
  </si>
  <si>
    <t xml:space="preserve">A3-7343</t>
  </si>
  <si>
    <t xml:space="preserve">A3-6370</t>
  </si>
  <si>
    <t xml:space="preserve">A3-8583</t>
  </si>
  <si>
    <t xml:space="preserve">Compila. Falla 10 de 15 pasos del harness (pasos 3,4,5,6,7,8,9,12,13,14; numerados desde 0).</t>
  </si>
  <si>
    <t xml:space="preserve">A3-4983</t>
  </si>
  <si>
    <t xml:space="preserve">A4 — Rampa de velocidad limitada (Avanzado)</t>
  </si>
  <si>
    <t xml:space="preserve">Lee cada respuesta por su código en respuestas/Respuestas_A4.html. Rellena solo las celdas amarillas. Las azules vienen de CODESYS o se calculan solas. La fila EJEMPLO no se analiza.</t>
  </si>
  <si>
    <t xml:space="preserve">A4-3724</t>
  </si>
  <si>
    <t xml:space="preserve">No compila (9 errores).</t>
  </si>
  <si>
    <t xml:space="preserve">A4-4106</t>
  </si>
  <si>
    <t xml:space="preserve">Compila. Pasa los 13 pasos del harness.</t>
  </si>
  <si>
    <t xml:space="preserve">A4-2094</t>
  </si>
  <si>
    <t xml:space="preserve">A4-8650</t>
  </si>
  <si>
    <t xml:space="preserve">No compila (3 errores).</t>
  </si>
  <si>
    <t xml:space="preserve">A4-8630</t>
  </si>
  <si>
    <t xml:space="preserve">A4-5382</t>
  </si>
  <si>
    <t xml:space="preserve">A4-3981</t>
  </si>
  <si>
    <t xml:space="preserve">A4-4874</t>
  </si>
  <si>
    <t xml:space="preserve">A4-8399</t>
  </si>
  <si>
    <t xml:space="preserve">A4-9812</t>
  </si>
  <si>
    <t xml:space="preserve">A4-2107</t>
  </si>
  <si>
    <t xml:space="preserve">A4-1899</t>
  </si>
  <si>
    <t xml:space="preserve">A4-3900</t>
  </si>
  <si>
    <t xml:space="preserve">A4-5751</t>
  </si>
  <si>
    <t xml:space="preserve">A4-5499</t>
  </si>
  <si>
    <t xml:space="preserve">A4-1758</t>
  </si>
  <si>
    <t xml:space="preserve">A4-3118</t>
  </si>
  <si>
    <t xml:space="preserve">A4-5971</t>
  </si>
  <si>
    <t xml:space="preserve">A4-4944</t>
  </si>
  <si>
    <t xml:space="preserve">A4-6890</t>
  </si>
  <si>
    <t xml:space="preserve">A4-8514</t>
  </si>
  <si>
    <t xml:space="preserve">A4-3246</t>
  </si>
  <si>
    <t xml:space="preserve">A4-4221</t>
  </si>
  <si>
    <t xml:space="preserve">A4-3284</t>
  </si>
  <si>
    <t xml:space="preserve">A5 — Registro de eventos en buffer circular (Avanzado)</t>
  </si>
  <si>
    <t xml:space="preserve">Lee cada respuesta por su código en respuestas/Respuestas_A5.html. Rellena solo las celdas amarillas. Las azules vienen de CODESYS o se calculan solas. La fila EJEMPLO no se analiza.</t>
  </si>
  <si>
    <t xml:space="preserve">A5-1851</t>
  </si>
  <si>
    <t xml:space="preserve">Compila. Falla 6 de 6 pasos del harness (pasos 0,1,2,3,4,5; numerados desde 0).</t>
  </si>
  <si>
    <t xml:space="preserve">A5-9329</t>
  </si>
  <si>
    <t xml:space="preserve">A5-6029</t>
  </si>
  <si>
    <t xml:space="preserve">A5-4425</t>
  </si>
  <si>
    <t xml:space="preserve">A5-3558</t>
  </si>
  <si>
    <t xml:space="preserve">A5-7727</t>
  </si>
  <si>
    <t xml:space="preserve">A5-7771</t>
  </si>
  <si>
    <t xml:space="preserve">A5-3414</t>
  </si>
  <si>
    <t xml:space="preserve">A5-4442</t>
  </si>
  <si>
    <t xml:space="preserve">A5-5130</t>
  </si>
  <si>
    <t xml:space="preserve">A5-3386</t>
  </si>
  <si>
    <t xml:space="preserve">A5-7063</t>
  </si>
  <si>
    <t xml:space="preserve">A5-4556</t>
  </si>
  <si>
    <t xml:space="preserve">A5-8849</t>
  </si>
  <si>
    <t xml:space="preserve">A5-7832</t>
  </si>
  <si>
    <t xml:space="preserve">A5-2051</t>
  </si>
  <si>
    <t xml:space="preserve">A5-8294</t>
  </si>
  <si>
    <t xml:space="preserve">A5-1206</t>
  </si>
  <si>
    <t xml:space="preserve">A5-2632</t>
  </si>
  <si>
    <t xml:space="preserve">A5-6758</t>
  </si>
  <si>
    <t xml:space="preserve">A5-1636</t>
  </si>
  <si>
    <t xml:space="preserve">A5-2042</t>
  </si>
  <si>
    <t xml:space="preserve">A5-9447</t>
  </si>
  <si>
    <t xml:space="preserve">A5-2012</t>
  </si>
  <si>
    <t xml:space="preserve">Compila. Falla 1 de 6 pasos del harness (pasos 0; numerados desde 0).</t>
  </si>
  <si>
    <t xml:space="preserve">A6 — Modos de operación jerárquicos con forzado individual (Avanzado)</t>
  </si>
  <si>
    <t xml:space="preserve">Lee cada respuesta por su código en respuestas/Respuestas_A6.html. Rellena solo las celdas amarillas. Las azules vienen de CODESYS o se calculan solas. La fila EJEMPLO no se analiza.</t>
  </si>
  <si>
    <t xml:space="preserve">A6-5636</t>
  </si>
  <si>
    <t xml:space="preserve">No compila (38 errores).</t>
  </si>
  <si>
    <t xml:space="preserve">A6-1663</t>
  </si>
  <si>
    <t xml:space="preserve">A6-6019</t>
  </si>
  <si>
    <t xml:space="preserve">A6-5711</t>
  </si>
  <si>
    <t xml:space="preserve">Compila. Pasa los 17 pasos del harness.</t>
  </si>
  <si>
    <t xml:space="preserve">A6-9717</t>
  </si>
  <si>
    <t xml:space="preserve">No compila (14 errores).</t>
  </si>
  <si>
    <t xml:space="preserve">A6-2982</t>
  </si>
  <si>
    <t xml:space="preserve">A6-6456</t>
  </si>
  <si>
    <t xml:space="preserve">No compila (36 errores).</t>
  </si>
  <si>
    <t xml:space="preserve">A6-4813</t>
  </si>
  <si>
    <t xml:space="preserve">A6-9389</t>
  </si>
  <si>
    <t xml:space="preserve">A6-5300</t>
  </si>
  <si>
    <t xml:space="preserve">A6-8649</t>
  </si>
  <si>
    <t xml:space="preserve">Compila. Falla 6 de 17 pasos del harness (pasos 6,7,8,9,10,15; numerados desde 0).</t>
  </si>
  <si>
    <t xml:space="preserve">A6-1068</t>
  </si>
  <si>
    <t xml:space="preserve">A6-5359</t>
  </si>
  <si>
    <t xml:space="preserve">A6-2630</t>
  </si>
  <si>
    <t xml:space="preserve">A6-5020</t>
  </si>
  <si>
    <t xml:space="preserve">A6-1266</t>
  </si>
  <si>
    <t xml:space="preserve">A6-3215</t>
  </si>
  <si>
    <t xml:space="preserve">No compila (22 errores).</t>
  </si>
  <si>
    <t xml:space="preserve">A6-5385</t>
  </si>
  <si>
    <t xml:space="preserve">A6-5870</t>
  </si>
  <si>
    <t xml:space="preserve">A6-8625</t>
  </si>
  <si>
    <t xml:space="preserve">A6-4100</t>
  </si>
  <si>
    <t xml:space="preserve">A6-4942</t>
  </si>
  <si>
    <t xml:space="preserve">A6-1659</t>
  </si>
  <si>
    <t xml:space="preserve">No compila (34 errores).</t>
  </si>
  <si>
    <t xml:space="preserve">A6-6945</t>
  </si>
  <si>
    <t xml:space="preserve">C3 — Conversión Ladder a ST (Complementaria)</t>
  </si>
  <si>
    <t xml:space="preserve">Lee cada respuesta por su código en respuestas/Respuestas_C3.html. Rellena solo las celdas amarillas. Las azules vienen de CODESYS o se calculan solas. La fila EJEMPLO no se analiza.</t>
  </si>
  <si>
    <t xml:space="preserve">C3-2896</t>
  </si>
  <si>
    <t xml:space="preserve">Compila sola, pero no se pudo simular: declara las entradas donde el harness no puede escribirlas ('btnMarcha' no es ninguna entrada de 'PRG_Conversion').</t>
  </si>
  <si>
    <t xml:space="preserve">C3-6882</t>
  </si>
  <si>
    <t xml:space="preserve">C3-5764</t>
  </si>
  <si>
    <t xml:space="preserve">C3-5896</t>
  </si>
  <si>
    <t xml:space="preserve">C3-2206</t>
  </si>
  <si>
    <t xml:space="preserve">C3-8154</t>
  </si>
  <si>
    <t xml:space="preserve">C3-6261</t>
  </si>
  <si>
    <t xml:space="preserve">C3-3977</t>
  </si>
  <si>
    <t xml:space="preserve">C3-3323</t>
  </si>
  <si>
    <t xml:space="preserve">C3-8076</t>
  </si>
  <si>
    <t xml:space="preserve">C3-1695</t>
  </si>
  <si>
    <t xml:space="preserve">C3-2623</t>
  </si>
  <si>
    <t xml:space="preserve">C3-8055</t>
  </si>
  <si>
    <t xml:space="preserve">C3-2360</t>
  </si>
  <si>
    <t xml:space="preserve">C3-9536</t>
  </si>
  <si>
    <t xml:space="preserve">C3-2155</t>
  </si>
  <si>
    <t xml:space="preserve">C3-1446</t>
  </si>
  <si>
    <t xml:space="preserve">C3-8015</t>
  </si>
  <si>
    <t xml:space="preserve">C3-9667</t>
  </si>
  <si>
    <t xml:space="preserve">C3-1285</t>
  </si>
  <si>
    <t xml:space="preserve">Compila. Falla 2 de 11 pasos del harness (pasos 3,9; numerados desde 0).</t>
  </si>
  <si>
    <t xml:space="preserve">C3-2752</t>
  </si>
  <si>
    <t xml:space="preserve">C3-4158</t>
  </si>
  <si>
    <t xml:space="preserve">C3-1088</t>
  </si>
  <si>
    <t xml:space="preserve">C3-5466</t>
  </si>
  <si>
    <t xml:space="preserve">C7 — Conversión Ladder a ST — contador con preset (Complementaria)</t>
  </si>
  <si>
    <t xml:space="preserve">Lee cada respuesta por su código en respuestas/Respuestas_C7.html. Rellena solo las celdas amarillas. Las azules vienen de CODESYS o se calculan solas. La fila EJEMPLO no se analiza.</t>
  </si>
  <si>
    <t xml:space="preserve">C7-2387</t>
  </si>
  <si>
    <t xml:space="preserve">C7-3786</t>
  </si>
  <si>
    <t xml:space="preserve">C7-5127</t>
  </si>
  <si>
    <t xml:space="preserve">C7-4283</t>
  </si>
  <si>
    <t xml:space="preserve">C7-5811</t>
  </si>
  <si>
    <t xml:space="preserve">C7-2960</t>
  </si>
  <si>
    <t xml:space="preserve">C7-2343</t>
  </si>
  <si>
    <t xml:space="preserve">C7-1855</t>
  </si>
  <si>
    <t xml:space="preserve">C7-6731</t>
  </si>
  <si>
    <t xml:space="preserve">C7-3114</t>
  </si>
  <si>
    <t xml:space="preserve">C7-6201</t>
  </si>
  <si>
    <t xml:space="preserve">C7-2101</t>
  </si>
  <si>
    <t xml:space="preserve">C7-9652</t>
  </si>
  <si>
    <t xml:space="preserve">C7-6391</t>
  </si>
  <si>
    <t xml:space="preserve">C7-2041</t>
  </si>
  <si>
    <t xml:space="preserve">C7-9033</t>
  </si>
  <si>
    <t xml:space="preserve">C7-2277</t>
  </si>
  <si>
    <t xml:space="preserve">C7-6780</t>
  </si>
  <si>
    <t xml:space="preserve">C7-1135</t>
  </si>
  <si>
    <t xml:space="preserve">C7-1952</t>
  </si>
  <si>
    <t xml:space="preserve">C7-8580</t>
  </si>
  <si>
    <t xml:space="preserve">C7-8598</t>
  </si>
  <si>
    <t xml:space="preserve">C7-9091</t>
  </si>
  <si>
    <t xml:space="preserve">C7-7646</t>
  </si>
  <si>
    <t xml:space="preserve">C8 — Conversión Ladder a ST — válvula con retardo (Complementaria)</t>
  </si>
  <si>
    <t xml:space="preserve">Lee cada respuesta por su código en respuestas/Respuestas_C8.html. Rellena solo las celdas amarillas. Las azules vienen de CODESYS o se calculan solas. La fila EJEMPLO no se analiza.</t>
  </si>
  <si>
    <t xml:space="preserve">C8-5754</t>
  </si>
  <si>
    <t xml:space="preserve">C8-2534</t>
  </si>
  <si>
    <t xml:space="preserve">C8-4156</t>
  </si>
  <si>
    <t xml:space="preserve">C8-1981</t>
  </si>
  <si>
    <t xml:space="preserve">C8-8380</t>
  </si>
  <si>
    <t xml:space="preserve">C8-5696</t>
  </si>
  <si>
    <t xml:space="preserve">C8-4887</t>
  </si>
  <si>
    <t xml:space="preserve">C8-4679</t>
  </si>
  <si>
    <t xml:space="preserve">C8-6973</t>
  </si>
  <si>
    <t xml:space="preserve">C8-7535</t>
  </si>
  <si>
    <t xml:space="preserve">C8-1455</t>
  </si>
  <si>
    <t xml:space="preserve">Compila. Falla 2 de 6 pasos del harness (pasos 3,5; numerados desde 0).</t>
  </si>
  <si>
    <t xml:space="preserve">C8-8654</t>
  </si>
  <si>
    <t xml:space="preserve">C8-2995</t>
  </si>
  <si>
    <t xml:space="preserve">C8-7711</t>
  </si>
  <si>
    <t xml:space="preserve">C8-4581</t>
  </si>
  <si>
    <t xml:space="preserve">C8-6084</t>
  </si>
  <si>
    <t xml:space="preserve">C8-4519</t>
  </si>
  <si>
    <t xml:space="preserve">C8-2420</t>
  </si>
  <si>
    <t xml:space="preserve">C8-5584</t>
  </si>
  <si>
    <t xml:space="preserve">C8-3511</t>
  </si>
  <si>
    <t xml:space="preserve">C8-4933</t>
  </si>
  <si>
    <t xml:space="preserve">C8-8185</t>
  </si>
  <si>
    <t xml:space="preserve">C8-1743</t>
  </si>
  <si>
    <t xml:space="preserve">C8-5787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</si>
</sst>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3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4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5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6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7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8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19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0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1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2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3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4.v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2"/>
  </cols>
  <sheetData>
    <row r="1" customFormat="false" ht="17.3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true" outlineLevel="0" collapsed="false">
      <c r="A4" s="3" t="s">
        <v>2</v>
      </c>
      <c r="B4" s="3"/>
      <c r="C4" s="3"/>
      <c r="D4" s="3"/>
    </row>
    <row r="5" customFormat="false" ht="30" hidden="false" customHeight="true" outlineLevel="0" collapsed="false">
      <c r="A5" s="2" t="s">
        <v>3</v>
      </c>
      <c r="B5" s="2"/>
      <c r="C5" s="2"/>
      <c r="D5" s="2"/>
    </row>
    <row r="6" customFormat="false" ht="30" hidden="false" customHeight="true" outlineLevel="0" collapsed="false">
      <c r="A6" s="2" t="s">
        <v>4</v>
      </c>
      <c r="B6" s="2"/>
      <c r="C6" s="2"/>
      <c r="D6" s="2"/>
    </row>
    <row r="7" customFormat="false" ht="30" hidden="false" customHeight="true" outlineLevel="0" collapsed="false">
      <c r="A7" s="2" t="s">
        <v>5</v>
      </c>
      <c r="B7" s="2"/>
      <c r="C7" s="2"/>
      <c r="D7" s="2"/>
    </row>
    <row r="8" customFormat="false" ht="15" hidden="false" customHeight="true" outlineLevel="0" collapsed="false">
      <c r="A8" s="2" t="s">
        <v>6</v>
      </c>
      <c r="B8" s="2"/>
      <c r="C8" s="2"/>
      <c r="D8" s="2"/>
    </row>
    <row r="9" customFormat="false" ht="30" hidden="false" customHeight="true" outlineLevel="0" collapsed="false">
      <c r="A9" s="2" t="s">
        <v>7</v>
      </c>
      <c r="B9" s="2"/>
      <c r="C9" s="2"/>
      <c r="D9" s="2"/>
    </row>
    <row r="10" customFormat="false" ht="15" hidden="false" customHeight="false" outlineLevel="0" collapsed="false">
      <c r="A10" s="2"/>
      <c r="B10" s="2"/>
      <c r="C10" s="2"/>
      <c r="D10" s="2"/>
    </row>
    <row r="11" customFormat="false" ht="15" hidden="false" customHeight="true" outlineLevel="0" collapsed="false">
      <c r="A11" s="3" t="s">
        <v>8</v>
      </c>
      <c r="B11" s="3"/>
      <c r="C11" s="3"/>
      <c r="D11" s="3"/>
    </row>
    <row r="12" customFormat="false" ht="30" hidden="false" customHeight="true" outlineLevel="0" collapsed="false">
      <c r="A12" s="2" t="s">
        <v>9</v>
      </c>
      <c r="B12" s="2"/>
      <c r="C12" s="2"/>
      <c r="D12" s="2"/>
    </row>
    <row r="13" customFormat="false" ht="15" hidden="false" customHeight="true" outlineLevel="0" collapsed="false">
      <c r="A13" s="2" t="s">
        <v>10</v>
      </c>
      <c r="B13" s="2"/>
      <c r="C13" s="2"/>
      <c r="D13" s="2"/>
    </row>
    <row r="14" customFormat="false" ht="30" hidden="false" customHeight="true" outlineLevel="0" collapsed="false">
      <c r="A14" s="2" t="s">
        <v>11</v>
      </c>
      <c r="B14" s="2"/>
      <c r="C14" s="2"/>
      <c r="D14" s="2"/>
    </row>
    <row r="15" customFormat="false" ht="30" hidden="false" customHeight="true" outlineLevel="0" collapsed="false">
      <c r="A15" s="2" t="s">
        <v>12</v>
      </c>
      <c r="B15" s="2"/>
      <c r="C15" s="2"/>
      <c r="D15" s="2"/>
    </row>
    <row r="16" customFormat="false" ht="30" hidden="false" customHeight="true" outlineLevel="0" collapsed="false">
      <c r="A16" s="2" t="s">
        <v>13</v>
      </c>
      <c r="B16" s="2"/>
      <c r="C16" s="2"/>
      <c r="D16" s="2"/>
    </row>
    <row r="17" customFormat="false" ht="15" hidden="false" customHeight="true" outlineLevel="0" collapsed="false">
      <c r="A17" s="2" t="s">
        <v>14</v>
      </c>
      <c r="B17" s="2"/>
      <c r="C17" s="2"/>
      <c r="D17" s="2"/>
    </row>
    <row r="18" customFormat="false" ht="15" hidden="false" customHeight="true" outlineLevel="0" collapsed="false">
      <c r="A18" s="2" t="s">
        <v>15</v>
      </c>
      <c r="B18" s="2"/>
      <c r="C18" s="2"/>
      <c r="D18" s="2"/>
    </row>
    <row r="19" customFormat="false" ht="15" hidden="false" customHeight="false" outlineLevel="0" collapsed="false">
      <c r="A19" s="2"/>
      <c r="B19" s="2"/>
      <c r="C19" s="2"/>
      <c r="D19" s="2"/>
    </row>
    <row r="20" customFormat="false" ht="15" hidden="false" customHeight="true" outlineLevel="0" collapsed="false">
      <c r="A20" s="3" t="s">
        <v>16</v>
      </c>
      <c r="B20" s="3"/>
      <c r="C20" s="3"/>
      <c r="D20" s="3"/>
    </row>
    <row r="21" customFormat="false" ht="30" hidden="false" customHeight="true" outlineLevel="0" collapsed="false">
      <c r="A21" s="2" t="s">
        <v>17</v>
      </c>
      <c r="B21" s="2"/>
      <c r="C21" s="2"/>
      <c r="D21" s="2"/>
    </row>
    <row r="22" customFormat="false" ht="15" hidden="false" customHeight="false" outlineLevel="0" collapsed="false">
      <c r="A22" s="2"/>
      <c r="B22" s="2"/>
      <c r="C22" s="2"/>
      <c r="D22" s="2"/>
    </row>
    <row r="23" customFormat="false" ht="15" hidden="false" customHeight="true" outlineLevel="0" collapsed="false">
      <c r="A23" s="3" t="s">
        <v>18</v>
      </c>
      <c r="B23" s="3"/>
      <c r="C23" s="3"/>
      <c r="D23" s="3"/>
    </row>
    <row r="24" customFormat="false" ht="15" hidden="false" customHeight="false" outlineLevel="0" collapsed="false">
      <c r="A24" s="4" t="s">
        <v>19</v>
      </c>
      <c r="B24" s="4" t="s">
        <v>20</v>
      </c>
      <c r="C24" s="4" t="s">
        <v>21</v>
      </c>
      <c r="D24" s="4" t="s">
        <v>22</v>
      </c>
    </row>
    <row r="25" customFormat="false" ht="15" hidden="false" customHeight="false" outlineLevel="0" collapsed="false">
      <c r="A25" s="5" t="s">
        <v>23</v>
      </c>
      <c r="B25" s="5" t="n">
        <v>24</v>
      </c>
      <c r="C25" s="6" t="n">
        <f aca="false">COUNTIF(B1!N6:N29,"Completa")</f>
        <v>0</v>
      </c>
      <c r="D25" s="6" t="n">
        <f aca="false">B25-C25</f>
        <v>24</v>
      </c>
    </row>
    <row r="26" customFormat="false" ht="15" hidden="false" customHeight="false" outlineLevel="0" collapsed="false">
      <c r="A26" s="5" t="s">
        <v>24</v>
      </c>
      <c r="B26" s="5" t="n">
        <v>24</v>
      </c>
      <c r="C26" s="6" t="n">
        <f aca="false">COUNTIF(B2!N6:N29,"Completa")</f>
        <v>0</v>
      </c>
      <c r="D26" s="6" t="n">
        <f aca="false">B26-C26</f>
        <v>24</v>
      </c>
    </row>
    <row r="27" customFormat="false" ht="15" hidden="false" customHeight="false" outlineLevel="0" collapsed="false">
      <c r="A27" s="5" t="s">
        <v>25</v>
      </c>
      <c r="B27" s="5" t="n">
        <v>24</v>
      </c>
      <c r="C27" s="6" t="n">
        <f aca="false">COUNTIF(B3!N6:N29,"Completa")</f>
        <v>0</v>
      </c>
      <c r="D27" s="6" t="n">
        <f aca="false">B27-C27</f>
        <v>24</v>
      </c>
    </row>
    <row r="28" customFormat="false" ht="15" hidden="false" customHeight="false" outlineLevel="0" collapsed="false">
      <c r="A28" s="5" t="s">
        <v>26</v>
      </c>
      <c r="B28" s="5" t="n">
        <v>24</v>
      </c>
      <c r="C28" s="6" t="n">
        <f aca="false">COUNTIF(B4!N6:N29,"Completa")</f>
        <v>0</v>
      </c>
      <c r="D28" s="6" t="n">
        <f aca="false">B28-C28</f>
        <v>24</v>
      </c>
    </row>
    <row r="29" customFormat="false" ht="15" hidden="false" customHeight="false" outlineLevel="0" collapsed="false">
      <c r="A29" s="5" t="s">
        <v>27</v>
      </c>
      <c r="B29" s="5" t="n">
        <v>24</v>
      </c>
      <c r="C29" s="6" t="n">
        <f aca="false">COUNTIF(B5!N6:N29,"Completa")</f>
        <v>0</v>
      </c>
      <c r="D29" s="6" t="n">
        <f aca="false">B29-C29</f>
        <v>24</v>
      </c>
    </row>
    <row r="30" customFormat="false" ht="15" hidden="false" customHeight="false" outlineLevel="0" collapsed="false">
      <c r="A30" s="5" t="s">
        <v>28</v>
      </c>
      <c r="B30" s="5" t="n">
        <v>24</v>
      </c>
      <c r="C30" s="6" t="n">
        <f aca="false">COUNTIF(B6!N6:N29,"Completa")</f>
        <v>0</v>
      </c>
      <c r="D30" s="6" t="n">
        <f aca="false">B30-C30</f>
        <v>24</v>
      </c>
    </row>
    <row r="31" customFormat="false" ht="15" hidden="false" customHeight="false" outlineLevel="0" collapsed="false">
      <c r="A31" s="5" t="s">
        <v>29</v>
      </c>
      <c r="B31" s="5" t="n">
        <v>24</v>
      </c>
      <c r="C31" s="6" t="n">
        <f aca="false">COUNTIF(B7!N6:N29,"Completa")</f>
        <v>0</v>
      </c>
      <c r="D31" s="6" t="n">
        <f aca="false">B31-C31</f>
        <v>24</v>
      </c>
    </row>
    <row r="32" customFormat="false" ht="15" hidden="false" customHeight="false" outlineLevel="0" collapsed="false">
      <c r="A32" s="5" t="s">
        <v>30</v>
      </c>
      <c r="B32" s="5" t="n">
        <v>24</v>
      </c>
      <c r="C32" s="6" t="n">
        <f aca="false">COUNTIF(B8!N6:N29,"Completa")</f>
        <v>0</v>
      </c>
      <c r="D32" s="6" t="n">
        <f aca="false">B32-C32</f>
        <v>24</v>
      </c>
    </row>
    <row r="33" customFormat="false" ht="15" hidden="false" customHeight="false" outlineLevel="0" collapsed="false">
      <c r="A33" s="5" t="s">
        <v>31</v>
      </c>
      <c r="B33" s="5" t="n">
        <v>24</v>
      </c>
      <c r="C33" s="6" t="n">
        <f aca="false">COUNTIF(I1!N6:N29,"Completa")</f>
        <v>0</v>
      </c>
      <c r="D33" s="6" t="n">
        <f aca="false">B33-C33</f>
        <v>24</v>
      </c>
    </row>
    <row r="34" customFormat="false" ht="15" hidden="false" customHeight="false" outlineLevel="0" collapsed="false">
      <c r="A34" s="5" t="s">
        <v>32</v>
      </c>
      <c r="B34" s="5" t="n">
        <v>24</v>
      </c>
      <c r="C34" s="6" t="n">
        <f aca="false">COUNTIF(I2!N6:N29,"Completa")</f>
        <v>0</v>
      </c>
      <c r="D34" s="6" t="n">
        <f aca="false">B34-C34</f>
        <v>24</v>
      </c>
    </row>
    <row r="35" customFormat="false" ht="15" hidden="false" customHeight="false" outlineLevel="0" collapsed="false">
      <c r="A35" s="5" t="s">
        <v>33</v>
      </c>
      <c r="B35" s="5" t="n">
        <v>24</v>
      </c>
      <c r="C35" s="6" t="n">
        <f aca="false">COUNTIF(I3!N6:N29,"Completa")</f>
        <v>0</v>
      </c>
      <c r="D35" s="6" t="n">
        <f aca="false">B35-C35</f>
        <v>24</v>
      </c>
    </row>
    <row r="36" customFormat="false" ht="15" hidden="false" customHeight="false" outlineLevel="0" collapsed="false">
      <c r="A36" s="5" t="s">
        <v>34</v>
      </c>
      <c r="B36" s="5" t="n">
        <v>24</v>
      </c>
      <c r="C36" s="6" t="n">
        <f aca="false">COUNTIF(I4!N6:N29,"Completa")</f>
        <v>0</v>
      </c>
      <c r="D36" s="6" t="n">
        <f aca="false">B36-C36</f>
        <v>24</v>
      </c>
    </row>
    <row r="37" customFormat="false" ht="15" hidden="false" customHeight="false" outlineLevel="0" collapsed="false">
      <c r="A37" s="5" t="s">
        <v>35</v>
      </c>
      <c r="B37" s="5" t="n">
        <v>24</v>
      </c>
      <c r="C37" s="6" t="n">
        <f aca="false">COUNTIF(I5!N6:N29,"Completa")</f>
        <v>0</v>
      </c>
      <c r="D37" s="6" t="n">
        <f aca="false">B37-C37</f>
        <v>24</v>
      </c>
    </row>
    <row r="38" customFormat="false" ht="15" hidden="false" customHeight="false" outlineLevel="0" collapsed="false">
      <c r="A38" s="5" t="s">
        <v>36</v>
      </c>
      <c r="B38" s="5" t="n">
        <v>24</v>
      </c>
      <c r="C38" s="6" t="n">
        <f aca="false">COUNTIF(I6!N6:N29,"Completa")</f>
        <v>0</v>
      </c>
      <c r="D38" s="6" t="n">
        <f aca="false">B38-C38</f>
        <v>24</v>
      </c>
    </row>
    <row r="39" customFormat="false" ht="15" hidden="false" customHeight="false" outlineLevel="0" collapsed="false">
      <c r="A39" s="5" t="s">
        <v>37</v>
      </c>
      <c r="B39" s="5" t="n">
        <v>24</v>
      </c>
      <c r="C39" s="6" t="n">
        <f aca="false">COUNTIF(I7!N6:N29,"Completa")</f>
        <v>0</v>
      </c>
      <c r="D39" s="6" t="n">
        <f aca="false">B39-C39</f>
        <v>24</v>
      </c>
    </row>
    <row r="40" customFormat="false" ht="15" hidden="false" customHeight="false" outlineLevel="0" collapsed="false">
      <c r="A40" s="5" t="s">
        <v>38</v>
      </c>
      <c r="B40" s="5" t="n">
        <v>24</v>
      </c>
      <c r="C40" s="6" t="n">
        <f aca="false">COUNTIF(I8!N6:N29,"Completa")</f>
        <v>0</v>
      </c>
      <c r="D40" s="6" t="n">
        <f aca="false">B40-C40</f>
        <v>24</v>
      </c>
    </row>
    <row r="41" customFormat="false" ht="15" hidden="false" customHeight="false" outlineLevel="0" collapsed="false">
      <c r="A41" s="5" t="s">
        <v>39</v>
      </c>
      <c r="B41" s="5" t="n">
        <v>24</v>
      </c>
      <c r="C41" s="6" t="n">
        <f aca="false">COUNTIF(A1!N6:N29,"Completa")</f>
        <v>0</v>
      </c>
      <c r="D41" s="6" t="n">
        <f aca="false">B41-C41</f>
        <v>24</v>
      </c>
    </row>
    <row r="42" customFormat="false" ht="15" hidden="false" customHeight="false" outlineLevel="0" collapsed="false">
      <c r="A42" s="5" t="s">
        <v>40</v>
      </c>
      <c r="B42" s="5" t="n">
        <v>24</v>
      </c>
      <c r="C42" s="6" t="n">
        <f aca="false">COUNTIF(A2!N6:N29,"Completa")</f>
        <v>0</v>
      </c>
      <c r="D42" s="6" t="n">
        <f aca="false">B42-C42</f>
        <v>24</v>
      </c>
    </row>
    <row r="43" customFormat="false" ht="15" hidden="false" customHeight="false" outlineLevel="0" collapsed="false">
      <c r="A43" s="5" t="s">
        <v>41</v>
      </c>
      <c r="B43" s="5" t="n">
        <v>24</v>
      </c>
      <c r="C43" s="6" t="n">
        <f aca="false">COUNTIF(A3!N6:N29,"Completa")</f>
        <v>0</v>
      </c>
      <c r="D43" s="6" t="n">
        <f aca="false">B43-C43</f>
        <v>24</v>
      </c>
    </row>
    <row r="44" customFormat="false" ht="15" hidden="false" customHeight="false" outlineLevel="0" collapsed="false">
      <c r="A44" s="5" t="s">
        <v>42</v>
      </c>
      <c r="B44" s="5" t="n">
        <v>24</v>
      </c>
      <c r="C44" s="6" t="n">
        <f aca="false">COUNTIF(A4!N6:N29,"Completa")</f>
        <v>0</v>
      </c>
      <c r="D44" s="6" t="n">
        <f aca="false">B44-C44</f>
        <v>24</v>
      </c>
    </row>
    <row r="45" customFormat="false" ht="15" hidden="false" customHeight="false" outlineLevel="0" collapsed="false">
      <c r="A45" s="5" t="s">
        <v>43</v>
      </c>
      <c r="B45" s="5" t="n">
        <v>24</v>
      </c>
      <c r="C45" s="6" t="n">
        <f aca="false">COUNTIF(A5!N6:N29,"Completa")</f>
        <v>0</v>
      </c>
      <c r="D45" s="6" t="n">
        <f aca="false">B45-C45</f>
        <v>24</v>
      </c>
    </row>
    <row r="46" customFormat="false" ht="15" hidden="false" customHeight="false" outlineLevel="0" collapsed="false">
      <c r="A46" s="5" t="s">
        <v>44</v>
      </c>
      <c r="B46" s="5" t="n">
        <v>24</v>
      </c>
      <c r="C46" s="6" t="n">
        <f aca="false">COUNTIF(A6!N6:N29,"Completa")</f>
        <v>0</v>
      </c>
      <c r="D46" s="6" t="n">
        <f aca="false">B46-C46</f>
        <v>24</v>
      </c>
    </row>
    <row r="47" customFormat="false" ht="15" hidden="false" customHeight="false" outlineLevel="0" collapsed="false">
      <c r="A47" s="5" t="s">
        <v>45</v>
      </c>
      <c r="B47" s="5" t="n">
        <v>24</v>
      </c>
      <c r="C47" s="6" t="n">
        <f aca="false">COUNTIF(C3!N6:N29,"Completa")</f>
        <v>0</v>
      </c>
      <c r="D47" s="6" t="n">
        <f aca="false">B47-C47</f>
        <v>24</v>
      </c>
    </row>
    <row r="48" customFormat="false" ht="15" hidden="false" customHeight="false" outlineLevel="0" collapsed="false">
      <c r="A48" s="5" t="s">
        <v>46</v>
      </c>
      <c r="B48" s="5" t="n">
        <v>24</v>
      </c>
      <c r="C48" s="6" t="n">
        <f aca="false">COUNTIF(C7!N6:N29,"Completa")</f>
        <v>0</v>
      </c>
      <c r="D48" s="6" t="n">
        <f aca="false">B48-C48</f>
        <v>24</v>
      </c>
    </row>
    <row r="49" customFormat="false" ht="15" hidden="false" customHeight="false" outlineLevel="0" collapsed="false">
      <c r="A49" s="5" t="s">
        <v>47</v>
      </c>
      <c r="B49" s="5" t="n">
        <v>24</v>
      </c>
      <c r="C49" s="6" t="n">
        <f aca="false">COUNTIF(C8!N6:N29,"Completa")</f>
        <v>0</v>
      </c>
      <c r="D49" s="6" t="n">
        <f aca="false">B49-C49</f>
        <v>24</v>
      </c>
    </row>
    <row r="50" customFormat="false" ht="15" hidden="false" customHeight="false" outlineLevel="0" collapsed="false">
      <c r="A50" s="7" t="s">
        <v>48</v>
      </c>
      <c r="B50" s="7" t="n">
        <f aca="false">SUM(B25:B49)</f>
        <v>600</v>
      </c>
      <c r="C50" s="7" t="n">
        <f aca="false">SUM(C25:C49)</f>
        <v>0</v>
      </c>
      <c r="D50" s="7" t="n">
        <f aca="false">SUM(D25:D49)</f>
        <v>600</v>
      </c>
    </row>
    <row r="52" customFormat="false" ht="15" hidden="false" customHeight="false" outlineLevel="0" collapsed="false">
      <c r="A52" s="8" t="s">
        <v>49</v>
      </c>
      <c r="B52" s="9"/>
    </row>
    <row r="53" customFormat="false" ht="15" hidden="false" customHeight="false" outlineLevel="0" collapsed="false">
      <c r="A53" s="8" t="s">
        <v>50</v>
      </c>
      <c r="B53" s="9"/>
    </row>
  </sheetData>
  <mergeCells count="2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34"/>
    <col collapsed="false" customWidth="true" hidden="false" outlineLevel="0" max="5" min="5" style="0" width="38"/>
    <col collapsed="false" customWidth="true" hidden="false" outlineLevel="0" max="6" min="6" style="0" width="22"/>
  </cols>
  <sheetData>
    <row r="1" customFormat="false" ht="16.15" hidden="false" customHeight="false" outlineLevel="0" collapsed="false">
      <c r="A1" s="10" t="s">
        <v>51</v>
      </c>
    </row>
    <row r="2" customFormat="false" ht="15" hidden="false" customHeight="false" outlineLevel="0" collapsed="false">
      <c r="A2" s="11" t="s">
        <v>52</v>
      </c>
    </row>
    <row r="4" customFormat="false" ht="15" hidden="false" customHeight="false" outlineLevel="0" collapsed="false">
      <c r="A4" s="4" t="s">
        <v>53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</row>
    <row r="5" customFormat="false" ht="78" hidden="false" customHeight="true" outlineLevel="0" collapsed="false">
      <c r="A5" s="12" t="s">
        <v>59</v>
      </c>
      <c r="B5" s="13" t="s">
        <v>60</v>
      </c>
      <c r="C5" s="13" t="s">
        <v>61</v>
      </c>
      <c r="D5" s="13" t="s">
        <v>62</v>
      </c>
      <c r="E5" s="13" t="s">
        <v>63</v>
      </c>
      <c r="F5" s="13" t="s">
        <v>64</v>
      </c>
    </row>
    <row r="6" customFormat="false" ht="78" hidden="false" customHeight="true" outlineLevel="0" collapsed="false">
      <c r="A6" s="12" t="s">
        <v>65</v>
      </c>
      <c r="B6" s="13" t="s">
        <v>66</v>
      </c>
      <c r="C6" s="13" t="s">
        <v>67</v>
      </c>
      <c r="D6" s="13" t="s">
        <v>68</v>
      </c>
      <c r="E6" s="13" t="s">
        <v>69</v>
      </c>
      <c r="F6" s="13" t="s">
        <v>70</v>
      </c>
    </row>
    <row r="7" customFormat="false" ht="78" hidden="false" customHeight="true" outlineLevel="0" collapsed="false">
      <c r="A7" s="12" t="s">
        <v>71</v>
      </c>
      <c r="B7" s="13" t="s">
        <v>72</v>
      </c>
      <c r="C7" s="13" t="s">
        <v>73</v>
      </c>
      <c r="D7" s="13" t="s">
        <v>74</v>
      </c>
      <c r="E7" s="13" t="s">
        <v>75</v>
      </c>
      <c r="F7" s="13" t="s">
        <v>76</v>
      </c>
    </row>
    <row r="8" customFormat="false" ht="78" hidden="false" customHeight="true" outlineLevel="0" collapsed="false">
      <c r="A8" s="12" t="s">
        <v>77</v>
      </c>
      <c r="B8" s="13" t="s">
        <v>78</v>
      </c>
      <c r="C8" s="13" t="s">
        <v>79</v>
      </c>
      <c r="D8" s="13" t="s">
        <v>80</v>
      </c>
      <c r="E8" s="13" t="s">
        <v>81</v>
      </c>
      <c r="F8" s="13" t="s">
        <v>82</v>
      </c>
    </row>
    <row r="9" customFormat="false" ht="78" hidden="false" customHeight="true" outlineLevel="0" collapsed="false">
      <c r="A9" s="12" t="s">
        <v>83</v>
      </c>
      <c r="B9" s="13" t="s">
        <v>84</v>
      </c>
      <c r="C9" s="13" t="s">
        <v>85</v>
      </c>
      <c r="D9" s="13" t="s">
        <v>86</v>
      </c>
      <c r="E9" s="13" t="s">
        <v>87</v>
      </c>
      <c r="F9" s="13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89</v>
      </c>
    </row>
    <row r="2" customFormat="false" ht="15" hidden="false" customHeight="false" outlineLevel="0" collapsed="false">
      <c r="A2" s="11" t="s">
        <v>90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111</v>
      </c>
      <c r="B6" s="17" t="s">
        <v>112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113</v>
      </c>
      <c r="B7" s="17" t="s">
        <v>114</v>
      </c>
      <c r="C7" s="18" t="n">
        <v>0</v>
      </c>
      <c r="D7" s="18" t="n">
        <v>0</v>
      </c>
      <c r="E7" s="19"/>
      <c r="F7" s="19"/>
      <c r="G7" s="19"/>
      <c r="H7" s="18" t="str">
        <f aca="false">IF(COUNT(C7:G7)=5,SUM(C7:G7),"")</f>
        <v/>
      </c>
      <c r="I7" s="17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115</v>
      </c>
      <c r="B8" s="17" t="s">
        <v>112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116</v>
      </c>
      <c r="B9" s="17" t="s">
        <v>117</v>
      </c>
      <c r="C9" s="19"/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118</v>
      </c>
      <c r="B10" s="17" t="s">
        <v>112</v>
      </c>
      <c r="C10" s="18" t="n">
        <v>3</v>
      </c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119</v>
      </c>
      <c r="B11" s="17" t="s">
        <v>112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120</v>
      </c>
      <c r="B12" s="17" t="s">
        <v>117</v>
      </c>
      <c r="C12" s="19"/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121</v>
      </c>
      <c r="B13" s="17" t="s">
        <v>112</v>
      </c>
      <c r="C13" s="18" t="n">
        <v>3</v>
      </c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122</v>
      </c>
      <c r="B14" s="17" t="s">
        <v>112</v>
      </c>
      <c r="C14" s="18" t="n">
        <v>3</v>
      </c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123</v>
      </c>
      <c r="B15" s="17" t="s">
        <v>112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124</v>
      </c>
      <c r="B16" s="17" t="s">
        <v>112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125</v>
      </c>
      <c r="B17" s="17" t="s">
        <v>112</v>
      </c>
      <c r="C17" s="18" t="n">
        <v>3</v>
      </c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126</v>
      </c>
      <c r="B18" s="17" t="s">
        <v>117</v>
      </c>
      <c r="C18" s="19"/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127</v>
      </c>
      <c r="B19" s="17" t="s">
        <v>112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128</v>
      </c>
      <c r="B20" s="17" t="s">
        <v>114</v>
      </c>
      <c r="C20" s="18" t="n">
        <v>0</v>
      </c>
      <c r="D20" s="18" t="n">
        <v>0</v>
      </c>
      <c r="E20" s="19"/>
      <c r="F20" s="19"/>
      <c r="G20" s="19"/>
      <c r="H20" s="18" t="str">
        <f aca="false">IF(COUNT(C20:G20)=5,SUM(C20:G20),"")</f>
        <v/>
      </c>
      <c r="I20" s="17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129</v>
      </c>
      <c r="B21" s="17" t="s">
        <v>112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130</v>
      </c>
      <c r="B22" s="17" t="s">
        <v>117</v>
      </c>
      <c r="C22" s="19"/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131</v>
      </c>
      <c r="B23" s="17" t="s">
        <v>117</v>
      </c>
      <c r="C23" s="19"/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132</v>
      </c>
      <c r="B24" s="17" t="s">
        <v>112</v>
      </c>
      <c r="C24" s="18" t="n">
        <v>3</v>
      </c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133</v>
      </c>
      <c r="B25" s="17" t="s">
        <v>112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134</v>
      </c>
      <c r="B26" s="17" t="s">
        <v>112</v>
      </c>
      <c r="C26" s="18" t="n">
        <v>3</v>
      </c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135</v>
      </c>
      <c r="B27" s="17" t="s">
        <v>112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136</v>
      </c>
      <c r="B28" s="17" t="s">
        <v>112</v>
      </c>
      <c r="C28" s="18" t="n">
        <v>3</v>
      </c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137</v>
      </c>
      <c r="B29" s="17" t="s">
        <v>117</v>
      </c>
      <c r="C29" s="19"/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9 C12 C18 C22:C23 C29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 D8:D19 D21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138</v>
      </c>
    </row>
    <row r="2" customFormat="false" ht="15" hidden="false" customHeight="false" outlineLevel="0" collapsed="false">
      <c r="A2" s="11" t="s">
        <v>139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140</v>
      </c>
      <c r="B6" s="17" t="s">
        <v>141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142</v>
      </c>
      <c r="B7" s="17" t="s">
        <v>141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143</v>
      </c>
      <c r="B8" s="17" t="s">
        <v>141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144</v>
      </c>
      <c r="B9" s="17" t="s">
        <v>141</v>
      </c>
      <c r="C9" s="18" t="n">
        <v>3</v>
      </c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145</v>
      </c>
      <c r="B10" s="17" t="s">
        <v>141</v>
      </c>
      <c r="C10" s="18" t="n">
        <v>3</v>
      </c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146</v>
      </c>
      <c r="B11" s="17" t="s">
        <v>141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147</v>
      </c>
      <c r="B12" s="17" t="s">
        <v>141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148</v>
      </c>
      <c r="B13" s="17" t="s">
        <v>141</v>
      </c>
      <c r="C13" s="18" t="n">
        <v>3</v>
      </c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149</v>
      </c>
      <c r="B14" s="17" t="s">
        <v>150</v>
      </c>
      <c r="C14" s="19"/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151</v>
      </c>
      <c r="B15" s="17" t="s">
        <v>141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152</v>
      </c>
      <c r="B16" s="17" t="s">
        <v>150</v>
      </c>
      <c r="C16" s="19"/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153</v>
      </c>
      <c r="B17" s="17" t="s">
        <v>141</v>
      </c>
      <c r="C17" s="18" t="n">
        <v>3</v>
      </c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154</v>
      </c>
      <c r="B18" s="17" t="s">
        <v>141</v>
      </c>
      <c r="C18" s="18" t="n">
        <v>3</v>
      </c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155</v>
      </c>
      <c r="B19" s="17" t="s">
        <v>141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156</v>
      </c>
      <c r="B20" s="17" t="s">
        <v>141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157</v>
      </c>
      <c r="B21" s="17" t="s">
        <v>141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158</v>
      </c>
      <c r="B22" s="17" t="s">
        <v>141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159</v>
      </c>
      <c r="B23" s="17" t="s">
        <v>141</v>
      </c>
      <c r="C23" s="18" t="n">
        <v>3</v>
      </c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160</v>
      </c>
      <c r="B24" s="17" t="s">
        <v>161</v>
      </c>
      <c r="C24" s="19"/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162</v>
      </c>
      <c r="B25" s="17" t="s">
        <v>141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163</v>
      </c>
      <c r="B26" s="17" t="s">
        <v>164</v>
      </c>
      <c r="C26" s="19"/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165</v>
      </c>
      <c r="B27" s="17" t="s">
        <v>141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166</v>
      </c>
      <c r="B28" s="17" t="s">
        <v>150</v>
      </c>
      <c r="C28" s="19"/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167</v>
      </c>
      <c r="B29" s="17" t="s">
        <v>141</v>
      </c>
      <c r="C29" s="18" t="n">
        <v>3</v>
      </c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14 C16 C24 C26 C28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168</v>
      </c>
    </row>
    <row r="2" customFormat="false" ht="15" hidden="false" customHeight="false" outlineLevel="0" collapsed="false">
      <c r="A2" s="11" t="s">
        <v>169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170</v>
      </c>
      <c r="B6" s="17" t="s">
        <v>112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171</v>
      </c>
      <c r="B7" s="17" t="s">
        <v>172</v>
      </c>
      <c r="C7" s="19"/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173</v>
      </c>
      <c r="B8" s="17" t="s">
        <v>112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174</v>
      </c>
      <c r="B9" s="17" t="s">
        <v>112</v>
      </c>
      <c r="C9" s="18" t="n">
        <v>3</v>
      </c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175</v>
      </c>
      <c r="B10" s="17" t="s">
        <v>112</v>
      </c>
      <c r="C10" s="18" t="n">
        <v>3</v>
      </c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176</v>
      </c>
      <c r="B11" s="17" t="s">
        <v>172</v>
      </c>
      <c r="C11" s="19"/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177</v>
      </c>
      <c r="B12" s="17" t="s">
        <v>112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178</v>
      </c>
      <c r="B13" s="17" t="s">
        <v>112</v>
      </c>
      <c r="C13" s="18" t="n">
        <v>3</v>
      </c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179</v>
      </c>
      <c r="B14" s="17" t="s">
        <v>180</v>
      </c>
      <c r="C14" s="18" t="n">
        <v>0</v>
      </c>
      <c r="D14" s="18" t="n">
        <v>0</v>
      </c>
      <c r="E14" s="19"/>
      <c r="F14" s="19"/>
      <c r="G14" s="19"/>
      <c r="H14" s="18" t="str">
        <f aca="false">IF(COUNT(C14:G14)=5,SUM(C14:G14),"")</f>
        <v/>
      </c>
      <c r="I14" s="17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181</v>
      </c>
      <c r="B15" s="17" t="s">
        <v>112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182</v>
      </c>
      <c r="B16" s="17" t="s">
        <v>112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183</v>
      </c>
      <c r="B17" s="17" t="s">
        <v>112</v>
      </c>
      <c r="C17" s="18" t="n">
        <v>3</v>
      </c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184</v>
      </c>
      <c r="B18" s="17" t="s">
        <v>112</v>
      </c>
      <c r="C18" s="18" t="n">
        <v>3</v>
      </c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185</v>
      </c>
      <c r="B19" s="17" t="s">
        <v>112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186</v>
      </c>
      <c r="B20" s="17" t="s">
        <v>112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187</v>
      </c>
      <c r="B21" s="17" t="s">
        <v>112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188</v>
      </c>
      <c r="B22" s="17" t="s">
        <v>112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189</v>
      </c>
      <c r="B23" s="17" t="s">
        <v>112</v>
      </c>
      <c r="C23" s="18" t="n">
        <v>3</v>
      </c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190</v>
      </c>
      <c r="B24" s="17" t="s">
        <v>112</v>
      </c>
      <c r="C24" s="18" t="n">
        <v>3</v>
      </c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191</v>
      </c>
      <c r="B25" s="17" t="s">
        <v>112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192</v>
      </c>
      <c r="B26" s="17" t="s">
        <v>112</v>
      </c>
      <c r="C26" s="18" t="n">
        <v>3</v>
      </c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193</v>
      </c>
      <c r="B27" s="17" t="s">
        <v>112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194</v>
      </c>
      <c r="B28" s="17" t="s">
        <v>195</v>
      </c>
      <c r="C28" s="19"/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196</v>
      </c>
      <c r="B29" s="17" t="s">
        <v>112</v>
      </c>
      <c r="C29" s="18" t="n">
        <v>3</v>
      </c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7 C11 C28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13 D15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197</v>
      </c>
    </row>
    <row r="2" customFormat="false" ht="15" hidden="false" customHeight="false" outlineLevel="0" collapsed="false">
      <c r="A2" s="11" t="s">
        <v>198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199</v>
      </c>
      <c r="B6" s="17" t="s">
        <v>200</v>
      </c>
      <c r="C6" s="19"/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201</v>
      </c>
      <c r="B7" s="17" t="s">
        <v>202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203</v>
      </c>
      <c r="B8" s="17" t="s">
        <v>202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204</v>
      </c>
      <c r="B9" s="17" t="s">
        <v>202</v>
      </c>
      <c r="C9" s="18" t="n">
        <v>3</v>
      </c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205</v>
      </c>
      <c r="B10" s="17" t="s">
        <v>202</v>
      </c>
      <c r="C10" s="18" t="n">
        <v>3</v>
      </c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206</v>
      </c>
      <c r="B11" s="17" t="s">
        <v>202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207</v>
      </c>
      <c r="B12" s="17" t="s">
        <v>202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208</v>
      </c>
      <c r="B13" s="17" t="s">
        <v>209</v>
      </c>
      <c r="C13" s="19"/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210</v>
      </c>
      <c r="B14" s="17" t="s">
        <v>211</v>
      </c>
      <c r="C14" s="19"/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212</v>
      </c>
      <c r="B15" s="17" t="s">
        <v>200</v>
      </c>
      <c r="C15" s="19"/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213</v>
      </c>
      <c r="B16" s="17" t="s">
        <v>202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214</v>
      </c>
      <c r="B17" s="17" t="s">
        <v>211</v>
      </c>
      <c r="C17" s="19"/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215</v>
      </c>
      <c r="B18" s="17" t="s">
        <v>202</v>
      </c>
      <c r="C18" s="18" t="n">
        <v>3</v>
      </c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216</v>
      </c>
      <c r="B19" s="17" t="s">
        <v>202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217</v>
      </c>
      <c r="B20" s="17" t="s">
        <v>202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218</v>
      </c>
      <c r="B21" s="17" t="s">
        <v>202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219</v>
      </c>
      <c r="B22" s="17" t="s">
        <v>202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220</v>
      </c>
      <c r="B23" s="17" t="s">
        <v>202</v>
      </c>
      <c r="C23" s="18" t="n">
        <v>3</v>
      </c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221</v>
      </c>
      <c r="B24" s="17" t="s">
        <v>202</v>
      </c>
      <c r="C24" s="18" t="n">
        <v>3</v>
      </c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222</v>
      </c>
      <c r="B25" s="17" t="s">
        <v>223</v>
      </c>
      <c r="C25" s="19"/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224</v>
      </c>
      <c r="B26" s="17" t="s">
        <v>202</v>
      </c>
      <c r="C26" s="18" t="n">
        <v>3</v>
      </c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225</v>
      </c>
      <c r="B27" s="17" t="s">
        <v>202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226</v>
      </c>
      <c r="B28" s="17" t="s">
        <v>211</v>
      </c>
      <c r="C28" s="19"/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227</v>
      </c>
      <c r="B29" s="17" t="s">
        <v>202</v>
      </c>
      <c r="C29" s="18" t="n">
        <v>3</v>
      </c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6 C13:C15 C17 C25 C28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228</v>
      </c>
    </row>
    <row r="2" customFormat="false" ht="15" hidden="false" customHeight="false" outlineLevel="0" collapsed="false">
      <c r="A2" s="11" t="s">
        <v>229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230</v>
      </c>
      <c r="B6" s="17" t="s">
        <v>231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232</v>
      </c>
      <c r="B7" s="17" t="s">
        <v>233</v>
      </c>
      <c r="C7" s="19"/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234</v>
      </c>
      <c r="B8" s="17" t="s">
        <v>235</v>
      </c>
      <c r="C8" s="19"/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236</v>
      </c>
      <c r="B9" s="17" t="s">
        <v>237</v>
      </c>
      <c r="C9" s="19"/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238</v>
      </c>
      <c r="B10" s="17" t="s">
        <v>233</v>
      </c>
      <c r="C10" s="19"/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239</v>
      </c>
      <c r="B11" s="17" t="s">
        <v>233</v>
      </c>
      <c r="C11" s="19"/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240</v>
      </c>
      <c r="B12" s="17" t="s">
        <v>231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241</v>
      </c>
      <c r="B13" s="17" t="s">
        <v>242</v>
      </c>
      <c r="C13" s="19"/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243</v>
      </c>
      <c r="B14" s="17" t="s">
        <v>235</v>
      </c>
      <c r="C14" s="19"/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244</v>
      </c>
      <c r="B15" s="17" t="s">
        <v>231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245</v>
      </c>
      <c r="B16" s="17" t="s">
        <v>231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246</v>
      </c>
      <c r="B17" s="17" t="s">
        <v>231</v>
      </c>
      <c r="C17" s="18" t="n">
        <v>3</v>
      </c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247</v>
      </c>
      <c r="B18" s="17" t="s">
        <v>233</v>
      </c>
      <c r="C18" s="19"/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248</v>
      </c>
      <c r="B19" s="17" t="s">
        <v>237</v>
      </c>
      <c r="C19" s="19"/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249</v>
      </c>
      <c r="B20" s="17" t="s">
        <v>233</v>
      </c>
      <c r="C20" s="19"/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250</v>
      </c>
      <c r="B21" s="17" t="s">
        <v>251</v>
      </c>
      <c r="C21" s="19"/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252</v>
      </c>
      <c r="B22" s="17" t="s">
        <v>242</v>
      </c>
      <c r="C22" s="19"/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253</v>
      </c>
      <c r="B23" s="17" t="s">
        <v>251</v>
      </c>
      <c r="C23" s="19"/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254</v>
      </c>
      <c r="B24" s="17" t="s">
        <v>235</v>
      </c>
      <c r="C24" s="19"/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255</v>
      </c>
      <c r="B25" s="17" t="s">
        <v>231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256</v>
      </c>
      <c r="B26" s="17" t="s">
        <v>231</v>
      </c>
      <c r="C26" s="18" t="n">
        <v>3</v>
      </c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257</v>
      </c>
      <c r="B27" s="17" t="s">
        <v>237</v>
      </c>
      <c r="C27" s="19"/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258</v>
      </c>
      <c r="B28" s="17" t="s">
        <v>251</v>
      </c>
      <c r="C28" s="19"/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259</v>
      </c>
      <c r="B29" s="17" t="s">
        <v>260</v>
      </c>
      <c r="C29" s="19"/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7:C11 C13:C14 C18:C24 C27:C29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261</v>
      </c>
    </row>
    <row r="2" customFormat="false" ht="15" hidden="false" customHeight="false" outlineLevel="0" collapsed="false">
      <c r="A2" s="11" t="s">
        <v>262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263</v>
      </c>
      <c r="B6" s="17" t="s">
        <v>264</v>
      </c>
      <c r="C6" s="19"/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265</v>
      </c>
      <c r="B7" s="17" t="s">
        <v>264</v>
      </c>
      <c r="C7" s="19"/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266</v>
      </c>
      <c r="B8" s="17" t="s">
        <v>267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268</v>
      </c>
      <c r="B9" s="17" t="s">
        <v>267</v>
      </c>
      <c r="C9" s="18" t="n">
        <v>3</v>
      </c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269</v>
      </c>
      <c r="B10" s="17" t="s">
        <v>267</v>
      </c>
      <c r="C10" s="18" t="n">
        <v>3</v>
      </c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270</v>
      </c>
      <c r="B11" s="17" t="s">
        <v>264</v>
      </c>
      <c r="C11" s="19"/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271</v>
      </c>
      <c r="B12" s="17" t="s">
        <v>264</v>
      </c>
      <c r="C12" s="19"/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272</v>
      </c>
      <c r="B13" s="17" t="s">
        <v>267</v>
      </c>
      <c r="C13" s="18" t="n">
        <v>3</v>
      </c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273</v>
      </c>
      <c r="B14" s="17" t="s">
        <v>267</v>
      </c>
      <c r="C14" s="18" t="n">
        <v>3</v>
      </c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274</v>
      </c>
      <c r="B15" s="17" t="s">
        <v>267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275</v>
      </c>
      <c r="B16" s="17" t="s">
        <v>267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276</v>
      </c>
      <c r="B17" s="17" t="s">
        <v>264</v>
      </c>
      <c r="C17" s="19"/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277</v>
      </c>
      <c r="B18" s="17" t="s">
        <v>267</v>
      </c>
      <c r="C18" s="18" t="n">
        <v>3</v>
      </c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278</v>
      </c>
      <c r="B19" s="17" t="s">
        <v>264</v>
      </c>
      <c r="C19" s="19"/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279</v>
      </c>
      <c r="B20" s="17" t="s">
        <v>267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280</v>
      </c>
      <c r="B21" s="17" t="s">
        <v>267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281</v>
      </c>
      <c r="B22" s="17" t="s">
        <v>267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282</v>
      </c>
      <c r="B23" s="17" t="s">
        <v>267</v>
      </c>
      <c r="C23" s="18" t="n">
        <v>3</v>
      </c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283</v>
      </c>
      <c r="B24" s="17" t="s">
        <v>267</v>
      </c>
      <c r="C24" s="18" t="n">
        <v>3</v>
      </c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284</v>
      </c>
      <c r="B25" s="17" t="s">
        <v>267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285</v>
      </c>
      <c r="B26" s="17" t="s">
        <v>267</v>
      </c>
      <c r="C26" s="18" t="n">
        <v>3</v>
      </c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286</v>
      </c>
      <c r="B27" s="17" t="s">
        <v>267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287</v>
      </c>
      <c r="B28" s="17" t="s">
        <v>264</v>
      </c>
      <c r="C28" s="19"/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288</v>
      </c>
      <c r="B29" s="17" t="s">
        <v>267</v>
      </c>
      <c r="C29" s="18" t="n">
        <v>3</v>
      </c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6:C7 C11:C12 C17 C19 C28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289</v>
      </c>
    </row>
    <row r="2" customFormat="false" ht="15" hidden="false" customHeight="false" outlineLevel="0" collapsed="false">
      <c r="A2" s="11" t="s">
        <v>290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291</v>
      </c>
      <c r="B6" s="17" t="s">
        <v>202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292</v>
      </c>
      <c r="B7" s="17" t="s">
        <v>202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293</v>
      </c>
      <c r="B8" s="17" t="s">
        <v>202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294</v>
      </c>
      <c r="B9" s="17" t="s">
        <v>202</v>
      </c>
      <c r="C9" s="18" t="n">
        <v>3</v>
      </c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295</v>
      </c>
      <c r="B10" s="17" t="s">
        <v>202</v>
      </c>
      <c r="C10" s="18" t="n">
        <v>3</v>
      </c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296</v>
      </c>
      <c r="B11" s="17" t="s">
        <v>202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297</v>
      </c>
      <c r="B12" s="17" t="s">
        <v>202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298</v>
      </c>
      <c r="B13" s="17" t="s">
        <v>202</v>
      </c>
      <c r="C13" s="18" t="n">
        <v>3</v>
      </c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299</v>
      </c>
      <c r="B14" s="17" t="s">
        <v>202</v>
      </c>
      <c r="C14" s="18" t="n">
        <v>3</v>
      </c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300</v>
      </c>
      <c r="B15" s="17" t="s">
        <v>202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301</v>
      </c>
      <c r="B16" s="17" t="s">
        <v>202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302</v>
      </c>
      <c r="B17" s="17" t="s">
        <v>202</v>
      </c>
      <c r="C17" s="18" t="n">
        <v>3</v>
      </c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303</v>
      </c>
      <c r="B18" s="17" t="s">
        <v>202</v>
      </c>
      <c r="C18" s="18" t="n">
        <v>3</v>
      </c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304</v>
      </c>
      <c r="B19" s="17" t="s">
        <v>202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305</v>
      </c>
      <c r="B20" s="17" t="s">
        <v>202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306</v>
      </c>
      <c r="B21" s="17" t="s">
        <v>307</v>
      </c>
      <c r="C21" s="19"/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308</v>
      </c>
      <c r="B22" s="17" t="s">
        <v>202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309</v>
      </c>
      <c r="B23" s="17" t="s">
        <v>202</v>
      </c>
      <c r="C23" s="18" t="n">
        <v>3</v>
      </c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310</v>
      </c>
      <c r="B24" s="17" t="s">
        <v>307</v>
      </c>
      <c r="C24" s="19"/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311</v>
      </c>
      <c r="B25" s="17" t="s">
        <v>202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312</v>
      </c>
      <c r="B26" s="17" t="s">
        <v>307</v>
      </c>
      <c r="C26" s="19"/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313</v>
      </c>
      <c r="B27" s="17" t="s">
        <v>202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314</v>
      </c>
      <c r="B28" s="17" t="s">
        <v>202</v>
      </c>
      <c r="C28" s="18" t="n">
        <v>3</v>
      </c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315</v>
      </c>
      <c r="B29" s="17" t="s">
        <v>307</v>
      </c>
      <c r="C29" s="19"/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21 C24 C26 C29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316</v>
      </c>
    </row>
    <row r="2" customFormat="false" ht="15" hidden="false" customHeight="false" outlineLevel="0" collapsed="false">
      <c r="A2" s="11" t="s">
        <v>317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318</v>
      </c>
      <c r="B6" s="17" t="s">
        <v>231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319</v>
      </c>
      <c r="B7" s="17" t="s">
        <v>320</v>
      </c>
      <c r="C7" s="19"/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321</v>
      </c>
      <c r="B8" s="17" t="s">
        <v>231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322</v>
      </c>
      <c r="B9" s="17" t="s">
        <v>231</v>
      </c>
      <c r="C9" s="18" t="n">
        <v>3</v>
      </c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323</v>
      </c>
      <c r="B10" s="17" t="s">
        <v>231</v>
      </c>
      <c r="C10" s="18" t="n">
        <v>3</v>
      </c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324</v>
      </c>
      <c r="B11" s="17" t="s">
        <v>231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325</v>
      </c>
      <c r="B12" s="17" t="s">
        <v>231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326</v>
      </c>
      <c r="B13" s="17" t="s">
        <v>231</v>
      </c>
      <c r="C13" s="18" t="n">
        <v>3</v>
      </c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327</v>
      </c>
      <c r="B14" s="17" t="s">
        <v>231</v>
      </c>
      <c r="C14" s="18" t="n">
        <v>3</v>
      </c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328</v>
      </c>
      <c r="B15" s="17" t="s">
        <v>231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329</v>
      </c>
      <c r="B16" s="17" t="s">
        <v>231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330</v>
      </c>
      <c r="B17" s="17" t="s">
        <v>231</v>
      </c>
      <c r="C17" s="18" t="n">
        <v>3</v>
      </c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331</v>
      </c>
      <c r="B18" s="17" t="s">
        <v>231</v>
      </c>
      <c r="C18" s="18" t="n">
        <v>3</v>
      </c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332</v>
      </c>
      <c r="B19" s="17" t="s">
        <v>231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333</v>
      </c>
      <c r="B20" s="17" t="s">
        <v>231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334</v>
      </c>
      <c r="B21" s="17" t="s">
        <v>231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335</v>
      </c>
      <c r="B22" s="17" t="s">
        <v>231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336</v>
      </c>
      <c r="B23" s="17" t="s">
        <v>231</v>
      </c>
      <c r="C23" s="18" t="n">
        <v>3</v>
      </c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337</v>
      </c>
      <c r="B24" s="17" t="s">
        <v>231</v>
      </c>
      <c r="C24" s="18" t="n">
        <v>3</v>
      </c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338</v>
      </c>
      <c r="B25" s="17" t="s">
        <v>231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339</v>
      </c>
      <c r="B26" s="17" t="s">
        <v>231</v>
      </c>
      <c r="C26" s="18" t="n">
        <v>3</v>
      </c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340</v>
      </c>
      <c r="B27" s="17" t="s">
        <v>231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341</v>
      </c>
      <c r="B28" s="17" t="s">
        <v>231</v>
      </c>
      <c r="C28" s="18" t="n">
        <v>3</v>
      </c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342</v>
      </c>
      <c r="B29" s="17" t="s">
        <v>231</v>
      </c>
      <c r="C29" s="18" t="n">
        <v>3</v>
      </c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7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343</v>
      </c>
    </row>
    <row r="2" customFormat="false" ht="15" hidden="false" customHeight="false" outlineLevel="0" collapsed="false">
      <c r="A2" s="11" t="s">
        <v>344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345</v>
      </c>
      <c r="B6" s="17" t="s">
        <v>231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346</v>
      </c>
      <c r="B7" s="17" t="s">
        <v>347</v>
      </c>
      <c r="C7" s="19"/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348</v>
      </c>
      <c r="B8" s="17" t="s">
        <v>349</v>
      </c>
      <c r="C8" s="19"/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350</v>
      </c>
      <c r="B9" s="17" t="s">
        <v>351</v>
      </c>
      <c r="C9" s="19"/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352</v>
      </c>
      <c r="B10" s="17" t="s">
        <v>231</v>
      </c>
      <c r="C10" s="18" t="n">
        <v>3</v>
      </c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353</v>
      </c>
      <c r="B11" s="17" t="s">
        <v>231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354</v>
      </c>
      <c r="B12" s="17" t="s">
        <v>231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355</v>
      </c>
      <c r="B13" s="17" t="s">
        <v>231</v>
      </c>
      <c r="C13" s="18" t="n">
        <v>3</v>
      </c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356</v>
      </c>
      <c r="B14" s="17" t="s">
        <v>357</v>
      </c>
      <c r="C14" s="19"/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358</v>
      </c>
      <c r="B15" s="17" t="s">
        <v>349</v>
      </c>
      <c r="C15" s="19"/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359</v>
      </c>
      <c r="B16" s="17" t="s">
        <v>231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360</v>
      </c>
      <c r="B17" s="17" t="s">
        <v>231</v>
      </c>
      <c r="C17" s="18" t="n">
        <v>3</v>
      </c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361</v>
      </c>
      <c r="B18" s="17" t="s">
        <v>231</v>
      </c>
      <c r="C18" s="18" t="n">
        <v>3</v>
      </c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362</v>
      </c>
      <c r="B19" s="17" t="s">
        <v>231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363</v>
      </c>
      <c r="B20" s="17" t="s">
        <v>364</v>
      </c>
      <c r="C20" s="19"/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365</v>
      </c>
      <c r="B21" s="17" t="s">
        <v>351</v>
      </c>
      <c r="C21" s="19"/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366</v>
      </c>
      <c r="B22" s="17" t="s">
        <v>231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367</v>
      </c>
      <c r="B23" s="17" t="s">
        <v>368</v>
      </c>
      <c r="C23" s="18" t="n">
        <v>0</v>
      </c>
      <c r="D23" s="18" t="n">
        <v>0</v>
      </c>
      <c r="E23" s="19"/>
      <c r="F23" s="19"/>
      <c r="G23" s="19"/>
      <c r="H23" s="18" t="str">
        <f aca="false">IF(COUNT(C23:G23)=5,SUM(C23:G23),"")</f>
        <v/>
      </c>
      <c r="I23" s="17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369</v>
      </c>
      <c r="B24" s="17" t="s">
        <v>349</v>
      </c>
      <c r="C24" s="19"/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370</v>
      </c>
      <c r="B25" s="17" t="s">
        <v>351</v>
      </c>
      <c r="C25" s="19"/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371</v>
      </c>
      <c r="B26" s="17" t="s">
        <v>372</v>
      </c>
      <c r="C26" s="19"/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373</v>
      </c>
      <c r="B27" s="17" t="s">
        <v>231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374</v>
      </c>
      <c r="B28" s="17" t="s">
        <v>368</v>
      </c>
      <c r="C28" s="18" t="n">
        <v>0</v>
      </c>
      <c r="D28" s="18" t="n">
        <v>0</v>
      </c>
      <c r="E28" s="19"/>
      <c r="F28" s="19"/>
      <c r="G28" s="19"/>
      <c r="H28" s="18" t="str">
        <f aca="false">IF(COUNT(C28:G28)=5,SUM(C28:G28),"")</f>
        <v/>
      </c>
      <c r="I28" s="17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375</v>
      </c>
      <c r="B29" s="17" t="s">
        <v>349</v>
      </c>
      <c r="C29" s="19"/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7:C9 C14:C15 C20:C21 C24:C26 C29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22 D24:D27 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376</v>
      </c>
    </row>
    <row r="2" customFormat="false" ht="15" hidden="false" customHeight="false" outlineLevel="0" collapsed="false">
      <c r="A2" s="11" t="s">
        <v>377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378</v>
      </c>
      <c r="B6" s="17" t="s">
        <v>379</v>
      </c>
      <c r="C6" s="19"/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380</v>
      </c>
      <c r="B7" s="17" t="s">
        <v>381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382</v>
      </c>
      <c r="B8" s="17" t="s">
        <v>383</v>
      </c>
      <c r="C8" s="19"/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384</v>
      </c>
      <c r="B9" s="17" t="s">
        <v>385</v>
      </c>
      <c r="C9" s="19"/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386</v>
      </c>
      <c r="B10" s="17" t="s">
        <v>387</v>
      </c>
      <c r="C10" s="19"/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388</v>
      </c>
      <c r="B11" s="17" t="s">
        <v>381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389</v>
      </c>
      <c r="B12" s="17" t="s">
        <v>381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390</v>
      </c>
      <c r="B13" s="17" t="s">
        <v>381</v>
      </c>
      <c r="C13" s="18" t="n">
        <v>3</v>
      </c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391</v>
      </c>
      <c r="B14" s="17" t="s">
        <v>381</v>
      </c>
      <c r="C14" s="18" t="n">
        <v>3</v>
      </c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392</v>
      </c>
      <c r="B15" s="17" t="s">
        <v>383</v>
      </c>
      <c r="C15" s="19"/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393</v>
      </c>
      <c r="B16" s="17" t="s">
        <v>394</v>
      </c>
      <c r="C16" s="19"/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395</v>
      </c>
      <c r="B17" s="17" t="s">
        <v>396</v>
      </c>
      <c r="C17" s="18" t="n">
        <v>0</v>
      </c>
      <c r="D17" s="18" t="n">
        <v>0</v>
      </c>
      <c r="E17" s="19"/>
      <c r="F17" s="19"/>
      <c r="G17" s="19"/>
      <c r="H17" s="18" t="str">
        <f aca="false">IF(COUNT(C17:G17)=5,SUM(C17:G17),"")</f>
        <v/>
      </c>
      <c r="I17" s="17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397</v>
      </c>
      <c r="B18" s="17" t="s">
        <v>381</v>
      </c>
      <c r="C18" s="18" t="n">
        <v>3</v>
      </c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398</v>
      </c>
      <c r="B19" s="17" t="s">
        <v>381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399</v>
      </c>
      <c r="B20" s="17" t="s">
        <v>381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400</v>
      </c>
      <c r="B21" s="17" t="s">
        <v>394</v>
      </c>
      <c r="C21" s="19"/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401</v>
      </c>
      <c r="B22" s="17" t="s">
        <v>402</v>
      </c>
      <c r="C22" s="19"/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403</v>
      </c>
      <c r="B23" s="17" t="s">
        <v>404</v>
      </c>
      <c r="C23" s="19"/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405</v>
      </c>
      <c r="B24" s="17" t="s">
        <v>381</v>
      </c>
      <c r="C24" s="18" t="n">
        <v>3</v>
      </c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406</v>
      </c>
      <c r="B25" s="17" t="s">
        <v>381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407</v>
      </c>
      <c r="B26" s="17" t="s">
        <v>404</v>
      </c>
      <c r="C26" s="19"/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408</v>
      </c>
      <c r="B27" s="17" t="s">
        <v>404</v>
      </c>
      <c r="C27" s="19"/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409</v>
      </c>
      <c r="B28" s="17" t="s">
        <v>381</v>
      </c>
      <c r="C28" s="18" t="n">
        <v>3</v>
      </c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410</v>
      </c>
      <c r="B29" s="17" t="s">
        <v>411</v>
      </c>
      <c r="C29" s="19"/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6 C8:C10 C15:C16 C21:C23 C26:C27 C29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16 D18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412</v>
      </c>
    </row>
    <row r="2" customFormat="false" ht="15" hidden="false" customHeight="false" outlineLevel="0" collapsed="false">
      <c r="A2" s="11" t="s">
        <v>413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414</v>
      </c>
      <c r="B6" s="17" t="s">
        <v>202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415</v>
      </c>
      <c r="B7" s="17" t="s">
        <v>202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416</v>
      </c>
      <c r="B8" s="17" t="s">
        <v>202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417</v>
      </c>
      <c r="B9" s="17" t="s">
        <v>202</v>
      </c>
      <c r="C9" s="18" t="n">
        <v>3</v>
      </c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418</v>
      </c>
      <c r="B10" s="17" t="s">
        <v>202</v>
      </c>
      <c r="C10" s="18" t="n">
        <v>3</v>
      </c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419</v>
      </c>
      <c r="B11" s="17" t="s">
        <v>420</v>
      </c>
      <c r="C11" s="19"/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421</v>
      </c>
      <c r="B12" s="17" t="s">
        <v>202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422</v>
      </c>
      <c r="B13" s="17" t="s">
        <v>202</v>
      </c>
      <c r="C13" s="18" t="n">
        <v>3</v>
      </c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423</v>
      </c>
      <c r="B14" s="17" t="s">
        <v>202</v>
      </c>
      <c r="C14" s="18" t="n">
        <v>3</v>
      </c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424</v>
      </c>
      <c r="B15" s="17" t="s">
        <v>202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425</v>
      </c>
      <c r="B16" s="17" t="s">
        <v>202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426</v>
      </c>
      <c r="B17" s="17" t="s">
        <v>202</v>
      </c>
      <c r="C17" s="18" t="n">
        <v>3</v>
      </c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427</v>
      </c>
      <c r="B18" s="17" t="s">
        <v>202</v>
      </c>
      <c r="C18" s="18" t="n">
        <v>3</v>
      </c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428</v>
      </c>
      <c r="B19" s="17" t="s">
        <v>202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429</v>
      </c>
      <c r="B20" s="17" t="s">
        <v>202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430</v>
      </c>
      <c r="B21" s="17" t="s">
        <v>202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431</v>
      </c>
      <c r="B22" s="17" t="s">
        <v>202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432</v>
      </c>
      <c r="B23" s="17" t="s">
        <v>202</v>
      </c>
      <c r="C23" s="18" t="n">
        <v>3</v>
      </c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433</v>
      </c>
      <c r="B24" s="17" t="s">
        <v>420</v>
      </c>
      <c r="C24" s="19"/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434</v>
      </c>
      <c r="B25" s="17" t="s">
        <v>202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435</v>
      </c>
      <c r="B26" s="17" t="s">
        <v>202</v>
      </c>
      <c r="C26" s="18" t="n">
        <v>3</v>
      </c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436</v>
      </c>
      <c r="B27" s="17" t="s">
        <v>202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437</v>
      </c>
      <c r="B28" s="17" t="s">
        <v>202</v>
      </c>
      <c r="C28" s="18" t="n">
        <v>3</v>
      </c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438</v>
      </c>
      <c r="B29" s="17" t="s">
        <v>202</v>
      </c>
      <c r="C29" s="18" t="n">
        <v>3</v>
      </c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11 C24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439</v>
      </c>
    </row>
    <row r="2" customFormat="false" ht="15" hidden="false" customHeight="false" outlineLevel="0" collapsed="false">
      <c r="A2" s="11" t="s">
        <v>440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441</v>
      </c>
      <c r="B6" s="17" t="s">
        <v>141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442</v>
      </c>
      <c r="B7" s="17" t="s">
        <v>443</v>
      </c>
      <c r="C7" s="19"/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444</v>
      </c>
      <c r="B8" s="17" t="s">
        <v>445</v>
      </c>
      <c r="C8" s="19"/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446</v>
      </c>
      <c r="B9" s="17" t="s">
        <v>141</v>
      </c>
      <c r="C9" s="18" t="n">
        <v>3</v>
      </c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447</v>
      </c>
      <c r="B10" s="17" t="s">
        <v>448</v>
      </c>
      <c r="C10" s="19"/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449</v>
      </c>
      <c r="B11" s="17" t="s">
        <v>450</v>
      </c>
      <c r="C11" s="19"/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451</v>
      </c>
      <c r="B12" s="17" t="s">
        <v>141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452</v>
      </c>
      <c r="B13" s="17" t="s">
        <v>450</v>
      </c>
      <c r="C13" s="19"/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453</v>
      </c>
      <c r="B14" s="17" t="s">
        <v>450</v>
      </c>
      <c r="C14" s="19"/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454</v>
      </c>
      <c r="B15" s="17" t="s">
        <v>141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455</v>
      </c>
      <c r="B16" s="17" t="s">
        <v>141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456</v>
      </c>
      <c r="B17" s="17" t="s">
        <v>443</v>
      </c>
      <c r="C17" s="19"/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457</v>
      </c>
      <c r="B18" s="17" t="s">
        <v>396</v>
      </c>
      <c r="C18" s="18" t="n">
        <v>0</v>
      </c>
      <c r="D18" s="18" t="n">
        <v>0</v>
      </c>
      <c r="E18" s="19"/>
      <c r="F18" s="19"/>
      <c r="G18" s="19"/>
      <c r="H18" s="18" t="str">
        <f aca="false">IF(COUNT(C18:G18)=5,SUM(C18:G18),"")</f>
        <v/>
      </c>
      <c r="I18" s="17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458</v>
      </c>
      <c r="B19" s="17" t="s">
        <v>459</v>
      </c>
      <c r="C19" s="19"/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460</v>
      </c>
      <c r="B20" s="17" t="s">
        <v>141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461</v>
      </c>
      <c r="B21" s="17" t="s">
        <v>141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462</v>
      </c>
      <c r="B22" s="17" t="s">
        <v>445</v>
      </c>
      <c r="C22" s="19"/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463</v>
      </c>
      <c r="B23" s="17" t="s">
        <v>464</v>
      </c>
      <c r="C23" s="19"/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465</v>
      </c>
      <c r="B24" s="17" t="s">
        <v>141</v>
      </c>
      <c r="C24" s="18" t="n">
        <v>3</v>
      </c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466</v>
      </c>
      <c r="B25" s="17" t="s">
        <v>141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467</v>
      </c>
      <c r="B26" s="17" t="s">
        <v>450</v>
      </c>
      <c r="C26" s="19"/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468</v>
      </c>
      <c r="B27" s="17" t="s">
        <v>396</v>
      </c>
      <c r="C27" s="18" t="n">
        <v>0</v>
      </c>
      <c r="D27" s="18" t="n">
        <v>0</v>
      </c>
      <c r="E27" s="19"/>
      <c r="F27" s="19"/>
      <c r="G27" s="19"/>
      <c r="H27" s="18" t="str">
        <f aca="false">IF(COUNT(C27:G27)=5,SUM(C27:G27),"")</f>
        <v/>
      </c>
      <c r="I27" s="17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469</v>
      </c>
      <c r="B28" s="17" t="s">
        <v>141</v>
      </c>
      <c r="C28" s="18" t="n">
        <v>3</v>
      </c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470</v>
      </c>
      <c r="B29" s="17" t="s">
        <v>141</v>
      </c>
      <c r="C29" s="18" t="n">
        <v>3</v>
      </c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7:C8 C10:C11 C13:C14 C17 C19 C22:C23 C26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17 D19:D26 D28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471</v>
      </c>
    </row>
    <row r="2" customFormat="false" ht="15" hidden="false" customHeight="false" outlineLevel="0" collapsed="false">
      <c r="A2" s="11" t="s">
        <v>472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473</v>
      </c>
      <c r="B6" s="17" t="s">
        <v>112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474</v>
      </c>
      <c r="B7" s="17" t="s">
        <v>112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475</v>
      </c>
      <c r="B8" s="17" t="s">
        <v>476</v>
      </c>
      <c r="C8" s="18" t="n">
        <v>0</v>
      </c>
      <c r="D8" s="18" t="n">
        <v>0</v>
      </c>
      <c r="E8" s="19"/>
      <c r="F8" s="19"/>
      <c r="G8" s="19"/>
      <c r="H8" s="18" t="str">
        <f aca="false">IF(COUNT(C8:G8)=5,SUM(C8:G8),"")</f>
        <v/>
      </c>
      <c r="I8" s="17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477</v>
      </c>
      <c r="B9" s="17" t="s">
        <v>112</v>
      </c>
      <c r="C9" s="18" t="n">
        <v>3</v>
      </c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478</v>
      </c>
      <c r="B10" s="17" t="s">
        <v>112</v>
      </c>
      <c r="C10" s="18" t="n">
        <v>3</v>
      </c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479</v>
      </c>
      <c r="B11" s="17" t="s">
        <v>195</v>
      </c>
      <c r="C11" s="19"/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480</v>
      </c>
      <c r="B12" s="17" t="s">
        <v>481</v>
      </c>
      <c r="C12" s="19"/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482</v>
      </c>
      <c r="B13" s="17" t="s">
        <v>481</v>
      </c>
      <c r="C13" s="19"/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483</v>
      </c>
      <c r="B14" s="17" t="s">
        <v>481</v>
      </c>
      <c r="C14" s="19"/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484</v>
      </c>
      <c r="B15" s="17" t="s">
        <v>485</v>
      </c>
      <c r="C15" s="19"/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486</v>
      </c>
      <c r="B16" s="17" t="s">
        <v>112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487</v>
      </c>
      <c r="B17" s="17" t="s">
        <v>488</v>
      </c>
      <c r="C17" s="19"/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489</v>
      </c>
      <c r="B18" s="17" t="s">
        <v>476</v>
      </c>
      <c r="C18" s="18" t="n">
        <v>0</v>
      </c>
      <c r="D18" s="18" t="n">
        <v>0</v>
      </c>
      <c r="E18" s="19"/>
      <c r="F18" s="19"/>
      <c r="G18" s="19"/>
      <c r="H18" s="18" t="str">
        <f aca="false">IF(COUNT(C18:G18)=5,SUM(C18:G18),"")</f>
        <v/>
      </c>
      <c r="I18" s="17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490</v>
      </c>
      <c r="B19" s="17" t="s">
        <v>485</v>
      </c>
      <c r="C19" s="19"/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491</v>
      </c>
      <c r="B20" s="17" t="s">
        <v>481</v>
      </c>
      <c r="C20" s="19"/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492</v>
      </c>
      <c r="B21" s="17" t="s">
        <v>481</v>
      </c>
      <c r="C21" s="19"/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493</v>
      </c>
      <c r="B22" s="17" t="s">
        <v>112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494</v>
      </c>
      <c r="B23" s="17" t="s">
        <v>495</v>
      </c>
      <c r="C23" s="19"/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496</v>
      </c>
      <c r="B24" s="17" t="s">
        <v>112</v>
      </c>
      <c r="C24" s="18" t="n">
        <v>3</v>
      </c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497</v>
      </c>
      <c r="B25" s="17" t="s">
        <v>112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498</v>
      </c>
      <c r="B26" s="17" t="s">
        <v>112</v>
      </c>
      <c r="C26" s="18" t="n">
        <v>3</v>
      </c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499</v>
      </c>
      <c r="B27" s="17" t="s">
        <v>112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500</v>
      </c>
      <c r="B28" s="17" t="s">
        <v>481</v>
      </c>
      <c r="C28" s="19"/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501</v>
      </c>
      <c r="B29" s="17" t="s">
        <v>488</v>
      </c>
      <c r="C29" s="19"/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11:C15 C17 C19:C21 C23 C28:C29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7 D9:D17 D19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502</v>
      </c>
    </row>
    <row r="2" customFormat="false" ht="15" hidden="false" customHeight="false" outlineLevel="0" collapsed="false">
      <c r="A2" s="11" t="s">
        <v>503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504</v>
      </c>
      <c r="B6" s="17" t="s">
        <v>505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506</v>
      </c>
      <c r="B7" s="17" t="s">
        <v>505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507</v>
      </c>
      <c r="B8" s="17" t="s">
        <v>505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508</v>
      </c>
      <c r="B9" s="17" t="s">
        <v>509</v>
      </c>
      <c r="C9" s="18" t="n">
        <v>0</v>
      </c>
      <c r="D9" s="18" t="n">
        <v>0</v>
      </c>
      <c r="E9" s="19"/>
      <c r="F9" s="19"/>
      <c r="G9" s="19"/>
      <c r="H9" s="18" t="str">
        <f aca="false">IF(COUNT(C9:G9)=5,SUM(C9:G9),"")</f>
        <v/>
      </c>
      <c r="I9" s="17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510</v>
      </c>
      <c r="B10" s="17" t="s">
        <v>505</v>
      </c>
      <c r="C10" s="18" t="n">
        <v>3</v>
      </c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511</v>
      </c>
      <c r="B11" s="17" t="s">
        <v>505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512</v>
      </c>
      <c r="B12" s="17" t="s">
        <v>505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513</v>
      </c>
      <c r="B13" s="17" t="s">
        <v>505</v>
      </c>
      <c r="C13" s="18" t="n">
        <v>3</v>
      </c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514</v>
      </c>
      <c r="B14" s="17" t="s">
        <v>505</v>
      </c>
      <c r="C14" s="18" t="n">
        <v>3</v>
      </c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515</v>
      </c>
      <c r="B15" s="17" t="s">
        <v>505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516</v>
      </c>
      <c r="B16" s="17" t="s">
        <v>505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517</v>
      </c>
      <c r="B17" s="17" t="s">
        <v>505</v>
      </c>
      <c r="C17" s="18" t="n">
        <v>3</v>
      </c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518</v>
      </c>
      <c r="B18" s="17" t="s">
        <v>509</v>
      </c>
      <c r="C18" s="18" t="n">
        <v>0</v>
      </c>
      <c r="D18" s="18" t="n">
        <v>0</v>
      </c>
      <c r="E18" s="19"/>
      <c r="F18" s="19"/>
      <c r="G18" s="19"/>
      <c r="H18" s="18" t="str">
        <f aca="false">IF(COUNT(C18:G18)=5,SUM(C18:G18),"")</f>
        <v/>
      </c>
      <c r="I18" s="17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519</v>
      </c>
      <c r="B19" s="17" t="s">
        <v>505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520</v>
      </c>
      <c r="B20" s="17" t="s">
        <v>505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521</v>
      </c>
      <c r="B21" s="17" t="s">
        <v>114</v>
      </c>
      <c r="C21" s="18" t="n">
        <v>0</v>
      </c>
      <c r="D21" s="18" t="n">
        <v>0</v>
      </c>
      <c r="E21" s="19"/>
      <c r="F21" s="19"/>
      <c r="G21" s="19"/>
      <c r="H21" s="18" t="str">
        <f aca="false">IF(COUNT(C21:G21)=5,SUM(C21:G21),"")</f>
        <v/>
      </c>
      <c r="I21" s="17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522</v>
      </c>
      <c r="B22" s="17" t="s">
        <v>505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523</v>
      </c>
      <c r="B23" s="17" t="s">
        <v>509</v>
      </c>
      <c r="C23" s="18" t="n">
        <v>0</v>
      </c>
      <c r="D23" s="18" t="n">
        <v>0</v>
      </c>
      <c r="E23" s="19"/>
      <c r="F23" s="19"/>
      <c r="G23" s="19"/>
      <c r="H23" s="18" t="str">
        <f aca="false">IF(COUNT(C23:G23)=5,SUM(C23:G23),"")</f>
        <v/>
      </c>
      <c r="I23" s="17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524</v>
      </c>
      <c r="B24" s="17" t="s">
        <v>505</v>
      </c>
      <c r="C24" s="18" t="n">
        <v>3</v>
      </c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525</v>
      </c>
      <c r="B25" s="17" t="s">
        <v>505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526</v>
      </c>
      <c r="B26" s="17" t="s">
        <v>509</v>
      </c>
      <c r="C26" s="18" t="n">
        <v>0</v>
      </c>
      <c r="D26" s="18" t="n">
        <v>0</v>
      </c>
      <c r="E26" s="19"/>
      <c r="F26" s="19"/>
      <c r="G26" s="19"/>
      <c r="H26" s="18" t="str">
        <f aca="false">IF(COUNT(C26:G26)=5,SUM(C26:G26),"")</f>
        <v/>
      </c>
      <c r="I26" s="17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527</v>
      </c>
      <c r="B27" s="17" t="s">
        <v>509</v>
      </c>
      <c r="C27" s="18" t="n">
        <v>0</v>
      </c>
      <c r="D27" s="18" t="n">
        <v>0</v>
      </c>
      <c r="E27" s="19"/>
      <c r="F27" s="19"/>
      <c r="G27" s="19"/>
      <c r="H27" s="18" t="str">
        <f aca="false">IF(COUNT(C27:G27)=5,SUM(C27:G27),"")</f>
        <v/>
      </c>
      <c r="I27" s="17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528</v>
      </c>
      <c r="B28" s="17" t="s">
        <v>529</v>
      </c>
      <c r="C28" s="19"/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530</v>
      </c>
      <c r="B29" s="17" t="s">
        <v>505</v>
      </c>
      <c r="C29" s="18" t="n">
        <v>3</v>
      </c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28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8 D10:D17 D19:D20 D22 D24:D25 D28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531</v>
      </c>
    </row>
    <row r="2" customFormat="false" ht="15" hidden="false" customHeight="false" outlineLevel="0" collapsed="false">
      <c r="A2" s="11" t="s">
        <v>532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533</v>
      </c>
      <c r="B6" s="17" t="s">
        <v>534</v>
      </c>
      <c r="C6" s="19"/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535</v>
      </c>
      <c r="B7" s="17" t="s">
        <v>536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537</v>
      </c>
      <c r="B8" s="17" t="s">
        <v>536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538</v>
      </c>
      <c r="B9" s="17" t="s">
        <v>536</v>
      </c>
      <c r="C9" s="18" t="n">
        <v>3</v>
      </c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539</v>
      </c>
      <c r="B10" s="17" t="s">
        <v>540</v>
      </c>
      <c r="C10" s="19"/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541</v>
      </c>
      <c r="B11" s="17" t="s">
        <v>536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542</v>
      </c>
      <c r="B12" s="17" t="s">
        <v>536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543</v>
      </c>
      <c r="B13" s="17" t="s">
        <v>544</v>
      </c>
      <c r="C13" s="19"/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545</v>
      </c>
      <c r="B14" s="17" t="s">
        <v>546</v>
      </c>
      <c r="C14" s="19"/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547</v>
      </c>
      <c r="B15" s="17" t="s">
        <v>548</v>
      </c>
      <c r="C15" s="19"/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549</v>
      </c>
      <c r="B16" s="17" t="s">
        <v>536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550</v>
      </c>
      <c r="B17" s="17" t="s">
        <v>551</v>
      </c>
      <c r="C17" s="19"/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552</v>
      </c>
      <c r="B18" s="17" t="s">
        <v>536</v>
      </c>
      <c r="C18" s="18" t="n">
        <v>3</v>
      </c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553</v>
      </c>
      <c r="B19" s="17" t="s">
        <v>534</v>
      </c>
      <c r="C19" s="19"/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554</v>
      </c>
      <c r="B20" s="17" t="s">
        <v>555</v>
      </c>
      <c r="C20" s="19"/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556</v>
      </c>
      <c r="B21" s="17" t="s">
        <v>536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557</v>
      </c>
      <c r="B22" s="17" t="s">
        <v>534</v>
      </c>
      <c r="C22" s="19"/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558</v>
      </c>
      <c r="B23" s="17" t="s">
        <v>534</v>
      </c>
      <c r="C23" s="19"/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559</v>
      </c>
      <c r="B24" s="17" t="s">
        <v>536</v>
      </c>
      <c r="C24" s="18" t="n">
        <v>3</v>
      </c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560</v>
      </c>
      <c r="B25" s="17" t="s">
        <v>540</v>
      </c>
      <c r="C25" s="19"/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561</v>
      </c>
      <c r="B26" s="17" t="s">
        <v>562</v>
      </c>
      <c r="C26" s="19"/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563</v>
      </c>
      <c r="B27" s="17" t="s">
        <v>534</v>
      </c>
      <c r="C27" s="19"/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564</v>
      </c>
      <c r="B28" s="17" t="s">
        <v>534</v>
      </c>
      <c r="C28" s="19"/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565</v>
      </c>
      <c r="B29" s="17" t="s">
        <v>540</v>
      </c>
      <c r="C29" s="19"/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6 C10 C13:C15 C17 C19:C20 C22:C23 C25:C29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566</v>
      </c>
    </row>
    <row r="2" customFormat="false" ht="15" hidden="false" customHeight="false" outlineLevel="0" collapsed="false">
      <c r="A2" s="11" t="s">
        <v>567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568</v>
      </c>
      <c r="B6" s="17" t="s">
        <v>569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570</v>
      </c>
      <c r="B7" s="17" t="s">
        <v>569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571</v>
      </c>
      <c r="B8" s="17" t="s">
        <v>572</v>
      </c>
      <c r="C8" s="19"/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573</v>
      </c>
      <c r="B9" s="17" t="s">
        <v>574</v>
      </c>
      <c r="C9" s="19"/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575</v>
      </c>
      <c r="B10" s="17" t="s">
        <v>576</v>
      </c>
      <c r="C10" s="19"/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577</v>
      </c>
      <c r="B11" s="17" t="s">
        <v>569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578</v>
      </c>
      <c r="B12" s="17" t="s">
        <v>569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579</v>
      </c>
      <c r="B13" s="17" t="s">
        <v>574</v>
      </c>
      <c r="C13" s="19"/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580</v>
      </c>
      <c r="B14" s="17" t="s">
        <v>569</v>
      </c>
      <c r="C14" s="18" t="n">
        <v>3</v>
      </c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581</v>
      </c>
      <c r="B15" s="17" t="s">
        <v>569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582</v>
      </c>
      <c r="B16" s="17" t="s">
        <v>569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583</v>
      </c>
      <c r="B17" s="17" t="s">
        <v>584</v>
      </c>
      <c r="C17" s="19"/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585</v>
      </c>
      <c r="B18" s="17" t="s">
        <v>586</v>
      </c>
      <c r="C18" s="19"/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587</v>
      </c>
      <c r="B19" s="17" t="s">
        <v>588</v>
      </c>
      <c r="C19" s="19"/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589</v>
      </c>
      <c r="B20" s="17" t="s">
        <v>569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590</v>
      </c>
      <c r="B21" s="17" t="s">
        <v>591</v>
      </c>
      <c r="C21" s="18" t="n">
        <v>0</v>
      </c>
      <c r="D21" s="18" t="n">
        <v>0</v>
      </c>
      <c r="E21" s="19"/>
      <c r="F21" s="19"/>
      <c r="G21" s="19"/>
      <c r="H21" s="18" t="str">
        <f aca="false">IF(COUNT(C21:G21)=5,SUM(C21:G21),"")</f>
        <v/>
      </c>
      <c r="I21" s="17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592</v>
      </c>
      <c r="B22" s="17" t="s">
        <v>593</v>
      </c>
      <c r="C22" s="19"/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594</v>
      </c>
      <c r="B23" s="17" t="s">
        <v>569</v>
      </c>
      <c r="C23" s="18" t="n">
        <v>3</v>
      </c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595</v>
      </c>
      <c r="B24" s="17" t="s">
        <v>586</v>
      </c>
      <c r="C24" s="19"/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596</v>
      </c>
      <c r="B25" s="17" t="s">
        <v>569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597</v>
      </c>
      <c r="B26" s="17" t="s">
        <v>586</v>
      </c>
      <c r="C26" s="19"/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598</v>
      </c>
      <c r="B27" s="17" t="s">
        <v>569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599</v>
      </c>
      <c r="B28" s="17" t="s">
        <v>569</v>
      </c>
      <c r="C28" s="18" t="n">
        <v>3</v>
      </c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600</v>
      </c>
      <c r="B29" s="17" t="s">
        <v>569</v>
      </c>
      <c r="C29" s="18" t="n">
        <v>3</v>
      </c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8:C10 C13 C17:C19 C22 C24 C26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20 D22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601</v>
      </c>
    </row>
    <row r="2" customFormat="false" ht="15" hidden="false" customHeight="false" outlineLevel="0" collapsed="false">
      <c r="A2" s="11" t="s">
        <v>602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603</v>
      </c>
      <c r="B6" s="17" t="s">
        <v>604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605</v>
      </c>
      <c r="B7" s="17" t="s">
        <v>606</v>
      </c>
      <c r="C7" s="18" t="n">
        <v>0</v>
      </c>
      <c r="D7" s="18" t="n">
        <v>0</v>
      </c>
      <c r="E7" s="19"/>
      <c r="F7" s="19"/>
      <c r="G7" s="19"/>
      <c r="H7" s="18" t="str">
        <f aca="false">IF(COUNT(C7:G7)=5,SUM(C7:G7),"")</f>
        <v/>
      </c>
      <c r="I7" s="17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607</v>
      </c>
      <c r="B8" s="17" t="s">
        <v>608</v>
      </c>
      <c r="C8" s="18" t="n">
        <v>0</v>
      </c>
      <c r="D8" s="18" t="n">
        <v>0</v>
      </c>
      <c r="E8" s="19"/>
      <c r="F8" s="19"/>
      <c r="G8" s="19"/>
      <c r="H8" s="18" t="str">
        <f aca="false">IF(COUNT(C8:G8)=5,SUM(C8:G8),"")</f>
        <v/>
      </c>
      <c r="I8" s="17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609</v>
      </c>
      <c r="B9" s="17" t="s">
        <v>610</v>
      </c>
      <c r="C9" s="18" t="n">
        <v>0</v>
      </c>
      <c r="D9" s="18" t="n">
        <v>0</v>
      </c>
      <c r="E9" s="19"/>
      <c r="F9" s="19"/>
      <c r="G9" s="19"/>
      <c r="H9" s="18" t="str">
        <f aca="false">IF(COUNT(C9:G9)=5,SUM(C9:G9),"")</f>
        <v/>
      </c>
      <c r="I9" s="17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611</v>
      </c>
      <c r="B10" s="17" t="s">
        <v>612</v>
      </c>
      <c r="C10" s="18" t="n">
        <v>0</v>
      </c>
      <c r="D10" s="18" t="n">
        <v>0</v>
      </c>
      <c r="E10" s="19"/>
      <c r="F10" s="19"/>
      <c r="G10" s="19"/>
      <c r="H10" s="18" t="str">
        <f aca="false">IF(COUNT(C10:G10)=5,SUM(C10:G10),"")</f>
        <v/>
      </c>
      <c r="I10" s="17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613</v>
      </c>
      <c r="B11" s="17" t="s">
        <v>614</v>
      </c>
      <c r="C11" s="18" t="n">
        <v>0</v>
      </c>
      <c r="D11" s="18" t="n">
        <v>0</v>
      </c>
      <c r="E11" s="19"/>
      <c r="F11" s="19"/>
      <c r="G11" s="19"/>
      <c r="H11" s="18" t="str">
        <f aca="false">IF(COUNT(C11:G11)=5,SUM(C11:G11),"")</f>
        <v/>
      </c>
      <c r="I11" s="17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615</v>
      </c>
      <c r="B12" s="17" t="s">
        <v>616</v>
      </c>
      <c r="C12" s="18" t="n">
        <v>0</v>
      </c>
      <c r="D12" s="18" t="n">
        <v>0</v>
      </c>
      <c r="E12" s="19"/>
      <c r="F12" s="19"/>
      <c r="G12" s="19"/>
      <c r="H12" s="18" t="str">
        <f aca="false">IF(COUNT(C12:G12)=5,SUM(C12:G12),"")</f>
        <v/>
      </c>
      <c r="I12" s="17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617</v>
      </c>
      <c r="B13" s="17" t="s">
        <v>618</v>
      </c>
      <c r="C13" s="18" t="n">
        <v>0</v>
      </c>
      <c r="D13" s="18" t="n">
        <v>0</v>
      </c>
      <c r="E13" s="19"/>
      <c r="F13" s="19"/>
      <c r="G13" s="19"/>
      <c r="H13" s="18" t="str">
        <f aca="false">IF(COUNT(C13:G13)=5,SUM(C13:G13),"")</f>
        <v/>
      </c>
      <c r="I13" s="17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619</v>
      </c>
      <c r="B14" s="17" t="s">
        <v>396</v>
      </c>
      <c r="C14" s="18" t="n">
        <v>0</v>
      </c>
      <c r="D14" s="18" t="n">
        <v>0</v>
      </c>
      <c r="E14" s="19"/>
      <c r="F14" s="19"/>
      <c r="G14" s="19"/>
      <c r="H14" s="18" t="str">
        <f aca="false">IF(COUNT(C14:G14)=5,SUM(C14:G14),"")</f>
        <v/>
      </c>
      <c r="I14" s="17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620</v>
      </c>
      <c r="B15" s="17" t="s">
        <v>604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621</v>
      </c>
      <c r="B16" s="17" t="s">
        <v>622</v>
      </c>
      <c r="C16" s="18" t="n">
        <v>0</v>
      </c>
      <c r="D16" s="18" t="n">
        <v>0</v>
      </c>
      <c r="E16" s="19"/>
      <c r="F16" s="19"/>
      <c r="G16" s="19"/>
      <c r="H16" s="18" t="str">
        <f aca="false">IF(COUNT(C16:G16)=5,SUM(C16:G16),"")</f>
        <v/>
      </c>
      <c r="I16" s="17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623</v>
      </c>
      <c r="B17" s="17" t="s">
        <v>624</v>
      </c>
      <c r="C17" s="18" t="n">
        <v>0</v>
      </c>
      <c r="D17" s="18" t="n">
        <v>0</v>
      </c>
      <c r="E17" s="19"/>
      <c r="F17" s="19"/>
      <c r="G17" s="19"/>
      <c r="H17" s="18" t="str">
        <f aca="false">IF(COUNT(C17:G17)=5,SUM(C17:G17),"")</f>
        <v/>
      </c>
      <c r="I17" s="17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625</v>
      </c>
      <c r="B18" s="17" t="s">
        <v>396</v>
      </c>
      <c r="C18" s="18" t="n">
        <v>0</v>
      </c>
      <c r="D18" s="18" t="n">
        <v>0</v>
      </c>
      <c r="E18" s="19"/>
      <c r="F18" s="19"/>
      <c r="G18" s="19"/>
      <c r="H18" s="18" t="str">
        <f aca="false">IF(COUNT(C18:G18)=5,SUM(C18:G18),"")</f>
        <v/>
      </c>
      <c r="I18" s="17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626</v>
      </c>
      <c r="B19" s="17" t="s">
        <v>396</v>
      </c>
      <c r="C19" s="18" t="n">
        <v>0</v>
      </c>
      <c r="D19" s="18" t="n">
        <v>0</v>
      </c>
      <c r="E19" s="19"/>
      <c r="F19" s="19"/>
      <c r="G19" s="19"/>
      <c r="H19" s="18" t="str">
        <f aca="false">IF(COUNT(C19:G19)=5,SUM(C19:G19),"")</f>
        <v/>
      </c>
      <c r="I19" s="17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627</v>
      </c>
      <c r="B20" s="17" t="s">
        <v>622</v>
      </c>
      <c r="C20" s="18" t="n">
        <v>0</v>
      </c>
      <c r="D20" s="18" t="n">
        <v>0</v>
      </c>
      <c r="E20" s="19"/>
      <c r="F20" s="19"/>
      <c r="G20" s="19"/>
      <c r="H20" s="18" t="str">
        <f aca="false">IF(COUNT(C20:G20)=5,SUM(C20:G20),"")</f>
        <v/>
      </c>
      <c r="I20" s="17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628</v>
      </c>
      <c r="B21" s="17" t="s">
        <v>629</v>
      </c>
      <c r="C21" s="18" t="n">
        <v>0</v>
      </c>
      <c r="D21" s="18" t="n">
        <v>0</v>
      </c>
      <c r="E21" s="19"/>
      <c r="F21" s="19"/>
      <c r="G21" s="19"/>
      <c r="H21" s="18" t="str">
        <f aca="false">IF(COUNT(C21:G21)=5,SUM(C21:G21),"")</f>
        <v/>
      </c>
      <c r="I21" s="17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630</v>
      </c>
      <c r="B22" s="17" t="s">
        <v>624</v>
      </c>
      <c r="C22" s="18" t="n">
        <v>0</v>
      </c>
      <c r="D22" s="18" t="n">
        <v>0</v>
      </c>
      <c r="E22" s="19"/>
      <c r="F22" s="19"/>
      <c r="G22" s="19"/>
      <c r="H22" s="18" t="str">
        <f aca="false">IF(COUNT(C22:G22)=5,SUM(C22:G22),"")</f>
        <v/>
      </c>
      <c r="I22" s="17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631</v>
      </c>
      <c r="B23" s="17" t="s">
        <v>612</v>
      </c>
      <c r="C23" s="18" t="n">
        <v>0</v>
      </c>
      <c r="D23" s="18" t="n">
        <v>0</v>
      </c>
      <c r="E23" s="19"/>
      <c r="F23" s="19"/>
      <c r="G23" s="19"/>
      <c r="H23" s="18" t="str">
        <f aca="false">IF(COUNT(C23:G23)=5,SUM(C23:G23),"")</f>
        <v/>
      </c>
      <c r="I23" s="17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632</v>
      </c>
      <c r="B24" s="17" t="s">
        <v>633</v>
      </c>
      <c r="C24" s="18" t="n">
        <v>0</v>
      </c>
      <c r="D24" s="18" t="n">
        <v>0</v>
      </c>
      <c r="E24" s="19"/>
      <c r="F24" s="19"/>
      <c r="G24" s="19"/>
      <c r="H24" s="18" t="str">
        <f aca="false">IF(COUNT(C24:G24)=5,SUM(C24:G24),"")</f>
        <v/>
      </c>
      <c r="I24" s="17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634</v>
      </c>
      <c r="B25" s="17" t="s">
        <v>635</v>
      </c>
      <c r="C25" s="18" t="n">
        <v>0</v>
      </c>
      <c r="D25" s="18" t="n">
        <v>0</v>
      </c>
      <c r="E25" s="19"/>
      <c r="F25" s="19"/>
      <c r="G25" s="19"/>
      <c r="H25" s="18" t="str">
        <f aca="false">IF(COUNT(C25:G25)=5,SUM(C25:G25),"")</f>
        <v/>
      </c>
      <c r="I25" s="17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636</v>
      </c>
      <c r="B26" s="17" t="s">
        <v>610</v>
      </c>
      <c r="C26" s="18" t="n">
        <v>0</v>
      </c>
      <c r="D26" s="18" t="n">
        <v>0</v>
      </c>
      <c r="E26" s="19"/>
      <c r="F26" s="19"/>
      <c r="G26" s="19"/>
      <c r="H26" s="18" t="str">
        <f aca="false">IF(COUNT(C26:G26)=5,SUM(C26:G26),"")</f>
        <v/>
      </c>
      <c r="I26" s="17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637</v>
      </c>
      <c r="B27" s="17" t="s">
        <v>604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638</v>
      </c>
      <c r="B28" s="17" t="s">
        <v>610</v>
      </c>
      <c r="C28" s="18" t="n">
        <v>0</v>
      </c>
      <c r="D28" s="18" t="n">
        <v>0</v>
      </c>
      <c r="E28" s="19"/>
      <c r="F28" s="19"/>
      <c r="G28" s="19"/>
      <c r="H28" s="18" t="str">
        <f aca="false">IF(COUNT(C28:G28)=5,SUM(C28:G28),"")</f>
        <v/>
      </c>
      <c r="I28" s="17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639</v>
      </c>
      <c r="B29" s="17" t="s">
        <v>610</v>
      </c>
      <c r="C29" s="18" t="n">
        <v>0</v>
      </c>
      <c r="D29" s="18" t="n">
        <v>0</v>
      </c>
      <c r="E29" s="19"/>
      <c r="F29" s="19"/>
      <c r="G29" s="19"/>
      <c r="H29" s="18" t="str">
        <f aca="false">IF(COUNT(C29:G29)=5,SUM(C29:G29),"")</f>
        <v/>
      </c>
      <c r="I29" s="17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2">
    <dataValidation allowBlank="true" error="Aquí solo 1, 2 o 3: el 0 se reserva a las respuestas que no compilan." errorStyle="stop" errorTitle="Valor no válido" operator="between" showDropDown="false" showErrorMessage="true" showInputMessage="false" sqref="D6 D15 D27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640</v>
      </c>
    </row>
    <row r="2" customFormat="false" ht="15" hidden="false" customHeight="false" outlineLevel="0" collapsed="false">
      <c r="A2" s="11" t="s">
        <v>641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642</v>
      </c>
      <c r="B6" s="17" t="s">
        <v>643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644</v>
      </c>
      <c r="B7" s="17" t="s">
        <v>643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645</v>
      </c>
      <c r="B8" s="17" t="s">
        <v>643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646</v>
      </c>
      <c r="B9" s="17" t="s">
        <v>114</v>
      </c>
      <c r="C9" s="18" t="n">
        <v>0</v>
      </c>
      <c r="D9" s="18" t="n">
        <v>0</v>
      </c>
      <c r="E9" s="19"/>
      <c r="F9" s="19"/>
      <c r="G9" s="19"/>
      <c r="H9" s="18" t="str">
        <f aca="false">IF(COUNT(C9:G9)=5,SUM(C9:G9),"")</f>
        <v/>
      </c>
      <c r="I9" s="17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647</v>
      </c>
      <c r="B10" s="17" t="s">
        <v>648</v>
      </c>
      <c r="C10" s="19"/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649</v>
      </c>
      <c r="B11" s="17" t="s">
        <v>643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650</v>
      </c>
      <c r="B12" s="17" t="s">
        <v>476</v>
      </c>
      <c r="C12" s="18" t="n">
        <v>0</v>
      </c>
      <c r="D12" s="18" t="n">
        <v>0</v>
      </c>
      <c r="E12" s="19"/>
      <c r="F12" s="19"/>
      <c r="G12" s="19"/>
      <c r="H12" s="18" t="str">
        <f aca="false">IF(COUNT(C12:G12)=5,SUM(C12:G12),"")</f>
        <v/>
      </c>
      <c r="I12" s="17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651</v>
      </c>
      <c r="B13" s="17" t="s">
        <v>652</v>
      </c>
      <c r="C13" s="19"/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653</v>
      </c>
      <c r="B14" s="17" t="s">
        <v>643</v>
      </c>
      <c r="C14" s="18" t="n">
        <v>3</v>
      </c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654</v>
      </c>
      <c r="B15" s="17" t="s">
        <v>396</v>
      </c>
      <c r="C15" s="18" t="n">
        <v>0</v>
      </c>
      <c r="D15" s="18" t="n">
        <v>0</v>
      </c>
      <c r="E15" s="19"/>
      <c r="F15" s="19"/>
      <c r="G15" s="19"/>
      <c r="H15" s="18" t="str">
        <f aca="false">IF(COUNT(C15:G15)=5,SUM(C15:G15),"")</f>
        <v/>
      </c>
      <c r="I15" s="17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655</v>
      </c>
      <c r="B16" s="17" t="s">
        <v>656</v>
      </c>
      <c r="C16" s="19"/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657</v>
      </c>
      <c r="B17" s="17" t="s">
        <v>476</v>
      </c>
      <c r="C17" s="18" t="n">
        <v>0</v>
      </c>
      <c r="D17" s="18" t="n">
        <v>0</v>
      </c>
      <c r="E17" s="19"/>
      <c r="F17" s="19"/>
      <c r="G17" s="19"/>
      <c r="H17" s="18" t="str">
        <f aca="false">IF(COUNT(C17:G17)=5,SUM(C17:G17),"")</f>
        <v/>
      </c>
      <c r="I17" s="17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658</v>
      </c>
      <c r="B18" s="17" t="s">
        <v>624</v>
      </c>
      <c r="C18" s="18" t="n">
        <v>0</v>
      </c>
      <c r="D18" s="18" t="n">
        <v>0</v>
      </c>
      <c r="E18" s="19"/>
      <c r="F18" s="19"/>
      <c r="G18" s="19"/>
      <c r="H18" s="18" t="str">
        <f aca="false">IF(COUNT(C18:G18)=5,SUM(C18:G18),"")</f>
        <v/>
      </c>
      <c r="I18" s="17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659</v>
      </c>
      <c r="B19" s="17" t="s">
        <v>643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660</v>
      </c>
      <c r="B20" s="17" t="s">
        <v>643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661</v>
      </c>
      <c r="B21" s="17" t="s">
        <v>643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662</v>
      </c>
      <c r="B22" s="17" t="s">
        <v>396</v>
      </c>
      <c r="C22" s="18" t="n">
        <v>0</v>
      </c>
      <c r="D22" s="18" t="n">
        <v>0</v>
      </c>
      <c r="E22" s="19"/>
      <c r="F22" s="19"/>
      <c r="G22" s="19"/>
      <c r="H22" s="18" t="str">
        <f aca="false">IF(COUNT(C22:G22)=5,SUM(C22:G22),"")</f>
        <v/>
      </c>
      <c r="I22" s="17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663</v>
      </c>
      <c r="B23" s="17" t="s">
        <v>643</v>
      </c>
      <c r="C23" s="18" t="n">
        <v>3</v>
      </c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664</v>
      </c>
      <c r="B24" s="17" t="s">
        <v>643</v>
      </c>
      <c r="C24" s="18" t="n">
        <v>3</v>
      </c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665</v>
      </c>
      <c r="B25" s="17" t="s">
        <v>666</v>
      </c>
      <c r="C25" s="18" t="n">
        <v>0</v>
      </c>
      <c r="D25" s="18" t="n">
        <v>0</v>
      </c>
      <c r="E25" s="19"/>
      <c r="F25" s="19"/>
      <c r="G25" s="19"/>
      <c r="H25" s="18" t="str">
        <f aca="false">IF(COUNT(C25:G25)=5,SUM(C25:G25),"")</f>
        <v/>
      </c>
      <c r="I25" s="17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667</v>
      </c>
      <c r="B26" s="17" t="s">
        <v>643</v>
      </c>
      <c r="C26" s="18" t="n">
        <v>3</v>
      </c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668</v>
      </c>
      <c r="B27" s="17" t="s">
        <v>643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669</v>
      </c>
      <c r="B28" s="17" t="s">
        <v>670</v>
      </c>
      <c r="C28" s="19"/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671</v>
      </c>
      <c r="B29" s="17" t="s">
        <v>643</v>
      </c>
      <c r="C29" s="18" t="n">
        <v>3</v>
      </c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10 C13 C16 C28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8 D10:D11 D13:D14 D16 D19:D21 D23:D24 D26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672</v>
      </c>
    </row>
    <row r="2" customFormat="false" ht="15" hidden="false" customHeight="false" outlineLevel="0" collapsed="false">
      <c r="A2" s="11" t="s">
        <v>673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674</v>
      </c>
      <c r="B6" s="17" t="s">
        <v>675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676</v>
      </c>
      <c r="B7" s="17" t="s">
        <v>675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677</v>
      </c>
      <c r="B8" s="17" t="s">
        <v>678</v>
      </c>
      <c r="C8" s="19"/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679</v>
      </c>
      <c r="B9" s="17" t="s">
        <v>680</v>
      </c>
      <c r="C9" s="19"/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681</v>
      </c>
      <c r="B10" s="17" t="s">
        <v>678</v>
      </c>
      <c r="C10" s="19"/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682</v>
      </c>
      <c r="B11" s="17" t="s">
        <v>675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683</v>
      </c>
      <c r="B12" s="17" t="s">
        <v>675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684</v>
      </c>
      <c r="B13" s="17" t="s">
        <v>685</v>
      </c>
      <c r="C13" s="19"/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686</v>
      </c>
      <c r="B14" s="17" t="s">
        <v>680</v>
      </c>
      <c r="C14" s="19"/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687</v>
      </c>
      <c r="B15" s="17" t="s">
        <v>675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688</v>
      </c>
      <c r="B16" s="17" t="s">
        <v>675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689</v>
      </c>
      <c r="B17" s="17" t="s">
        <v>690</v>
      </c>
      <c r="C17" s="19"/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691</v>
      </c>
      <c r="B18" s="17" t="s">
        <v>692</v>
      </c>
      <c r="C18" s="19"/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693</v>
      </c>
      <c r="B19" s="17" t="s">
        <v>694</v>
      </c>
      <c r="C19" s="19"/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695</v>
      </c>
      <c r="B20" s="17" t="s">
        <v>694</v>
      </c>
      <c r="C20" s="19"/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696</v>
      </c>
      <c r="B21" s="17" t="s">
        <v>675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697</v>
      </c>
      <c r="B22" s="17" t="s">
        <v>675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698</v>
      </c>
      <c r="B23" s="17" t="s">
        <v>699</v>
      </c>
      <c r="C23" s="19"/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700</v>
      </c>
      <c r="B24" s="17" t="s">
        <v>699</v>
      </c>
      <c r="C24" s="19"/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701</v>
      </c>
      <c r="B25" s="17" t="s">
        <v>680</v>
      </c>
      <c r="C25" s="19"/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702</v>
      </c>
      <c r="B26" s="17" t="s">
        <v>675</v>
      </c>
      <c r="C26" s="18" t="n">
        <v>3</v>
      </c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703</v>
      </c>
      <c r="B27" s="17" t="s">
        <v>675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704</v>
      </c>
      <c r="B28" s="17" t="s">
        <v>705</v>
      </c>
      <c r="C28" s="19"/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706</v>
      </c>
      <c r="B29" s="17" t="s">
        <v>699</v>
      </c>
      <c r="C29" s="19"/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8:C10 C13:C14 C17:C20 C23:C25 C28:C29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707</v>
      </c>
    </row>
    <row r="2" customFormat="false" ht="15" hidden="false" customHeight="false" outlineLevel="0" collapsed="false">
      <c r="A2" s="11" t="s">
        <v>708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709</v>
      </c>
      <c r="B6" s="17" t="s">
        <v>710</v>
      </c>
      <c r="C6" s="18" t="n">
        <v>0</v>
      </c>
      <c r="D6" s="18" t="n">
        <v>0</v>
      </c>
      <c r="E6" s="19"/>
      <c r="F6" s="19"/>
      <c r="G6" s="19"/>
      <c r="H6" s="18" t="str">
        <f aca="false">IF(COUNT(C6:G6)=5,SUM(C6:G6),"")</f>
        <v/>
      </c>
      <c r="I6" s="17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711</v>
      </c>
      <c r="B7" s="17" t="s">
        <v>712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713</v>
      </c>
      <c r="B8" s="17" t="s">
        <v>622</v>
      </c>
      <c r="C8" s="18" t="n">
        <v>0</v>
      </c>
      <c r="D8" s="18" t="n">
        <v>0</v>
      </c>
      <c r="E8" s="19"/>
      <c r="F8" s="19"/>
      <c r="G8" s="19"/>
      <c r="H8" s="18" t="str">
        <f aca="false">IF(COUNT(C8:G8)=5,SUM(C8:G8),"")</f>
        <v/>
      </c>
      <c r="I8" s="17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714</v>
      </c>
      <c r="B9" s="17" t="s">
        <v>715</v>
      </c>
      <c r="C9" s="18" t="n">
        <v>0</v>
      </c>
      <c r="D9" s="18" t="n">
        <v>0</v>
      </c>
      <c r="E9" s="19"/>
      <c r="F9" s="19"/>
      <c r="G9" s="19"/>
      <c r="H9" s="18" t="str">
        <f aca="false">IF(COUNT(C9:G9)=5,SUM(C9:G9),"")</f>
        <v/>
      </c>
      <c r="I9" s="17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716</v>
      </c>
      <c r="B10" s="17" t="s">
        <v>476</v>
      </c>
      <c r="C10" s="18" t="n">
        <v>0</v>
      </c>
      <c r="D10" s="18" t="n">
        <v>0</v>
      </c>
      <c r="E10" s="19"/>
      <c r="F10" s="19"/>
      <c r="G10" s="19"/>
      <c r="H10" s="18" t="str">
        <f aca="false">IF(COUNT(C10:G10)=5,SUM(C10:G10),"")</f>
        <v/>
      </c>
      <c r="I10" s="17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717</v>
      </c>
      <c r="B11" s="17" t="s">
        <v>712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718</v>
      </c>
      <c r="B12" s="17" t="s">
        <v>712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719</v>
      </c>
      <c r="B13" s="17" t="s">
        <v>114</v>
      </c>
      <c r="C13" s="18" t="n">
        <v>0</v>
      </c>
      <c r="D13" s="18" t="n">
        <v>0</v>
      </c>
      <c r="E13" s="19"/>
      <c r="F13" s="19"/>
      <c r="G13" s="19"/>
      <c r="H13" s="18" t="str">
        <f aca="false">IF(COUNT(C13:G13)=5,SUM(C13:G13),"")</f>
        <v/>
      </c>
      <c r="I13" s="17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720</v>
      </c>
      <c r="B14" s="17" t="s">
        <v>476</v>
      </c>
      <c r="C14" s="18" t="n">
        <v>0</v>
      </c>
      <c r="D14" s="18" t="n">
        <v>0</v>
      </c>
      <c r="E14" s="19"/>
      <c r="F14" s="19"/>
      <c r="G14" s="19"/>
      <c r="H14" s="18" t="str">
        <f aca="false">IF(COUNT(C14:G14)=5,SUM(C14:G14),"")</f>
        <v/>
      </c>
      <c r="I14" s="17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721</v>
      </c>
      <c r="B15" s="17" t="s">
        <v>712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722</v>
      </c>
      <c r="B16" s="17" t="s">
        <v>180</v>
      </c>
      <c r="C16" s="18" t="n">
        <v>0</v>
      </c>
      <c r="D16" s="18" t="n">
        <v>0</v>
      </c>
      <c r="E16" s="19"/>
      <c r="F16" s="19"/>
      <c r="G16" s="19"/>
      <c r="H16" s="18" t="str">
        <f aca="false">IF(COUNT(C16:G16)=5,SUM(C16:G16),"")</f>
        <v/>
      </c>
      <c r="I16" s="17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723</v>
      </c>
      <c r="B17" s="17" t="s">
        <v>629</v>
      </c>
      <c r="C17" s="18" t="n">
        <v>0</v>
      </c>
      <c r="D17" s="18" t="n">
        <v>0</v>
      </c>
      <c r="E17" s="19"/>
      <c r="F17" s="19"/>
      <c r="G17" s="19"/>
      <c r="H17" s="18" t="str">
        <f aca="false">IF(COUNT(C17:G17)=5,SUM(C17:G17),"")</f>
        <v/>
      </c>
      <c r="I17" s="17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724</v>
      </c>
      <c r="B18" s="17" t="s">
        <v>396</v>
      </c>
      <c r="C18" s="18" t="n">
        <v>0</v>
      </c>
      <c r="D18" s="18" t="n">
        <v>0</v>
      </c>
      <c r="E18" s="19"/>
      <c r="F18" s="19"/>
      <c r="G18" s="19"/>
      <c r="H18" s="18" t="str">
        <f aca="false">IF(COUNT(C18:G18)=5,SUM(C18:G18),"")</f>
        <v/>
      </c>
      <c r="I18" s="17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725</v>
      </c>
      <c r="B19" s="17" t="s">
        <v>629</v>
      </c>
      <c r="C19" s="18" t="n">
        <v>0</v>
      </c>
      <c r="D19" s="18" t="n">
        <v>0</v>
      </c>
      <c r="E19" s="19"/>
      <c r="F19" s="19"/>
      <c r="G19" s="19"/>
      <c r="H19" s="18" t="str">
        <f aca="false">IF(COUNT(C19:G19)=5,SUM(C19:G19),"")</f>
        <v/>
      </c>
      <c r="I19" s="17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726</v>
      </c>
      <c r="B20" s="17" t="s">
        <v>624</v>
      </c>
      <c r="C20" s="18" t="n">
        <v>0</v>
      </c>
      <c r="D20" s="18" t="n">
        <v>0</v>
      </c>
      <c r="E20" s="19"/>
      <c r="F20" s="19"/>
      <c r="G20" s="19"/>
      <c r="H20" s="18" t="str">
        <f aca="false">IF(COUNT(C20:G20)=5,SUM(C20:G20),"")</f>
        <v/>
      </c>
      <c r="I20" s="17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727</v>
      </c>
      <c r="B21" s="17" t="s">
        <v>476</v>
      </c>
      <c r="C21" s="18" t="n">
        <v>0</v>
      </c>
      <c r="D21" s="18" t="n">
        <v>0</v>
      </c>
      <c r="E21" s="19"/>
      <c r="F21" s="19"/>
      <c r="G21" s="19"/>
      <c r="H21" s="18" t="str">
        <f aca="false">IF(COUNT(C21:G21)=5,SUM(C21:G21),"")</f>
        <v/>
      </c>
      <c r="I21" s="17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728</v>
      </c>
      <c r="B22" s="17" t="s">
        <v>712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729</v>
      </c>
      <c r="B23" s="17" t="s">
        <v>712</v>
      </c>
      <c r="C23" s="18" t="n">
        <v>3</v>
      </c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730</v>
      </c>
      <c r="B24" s="17" t="s">
        <v>712</v>
      </c>
      <c r="C24" s="18" t="n">
        <v>3</v>
      </c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731</v>
      </c>
      <c r="B25" s="17" t="s">
        <v>476</v>
      </c>
      <c r="C25" s="18" t="n">
        <v>0</v>
      </c>
      <c r="D25" s="18" t="n">
        <v>0</v>
      </c>
      <c r="E25" s="19"/>
      <c r="F25" s="19"/>
      <c r="G25" s="19"/>
      <c r="H25" s="18" t="str">
        <f aca="false">IF(COUNT(C25:G25)=5,SUM(C25:G25),"")</f>
        <v/>
      </c>
      <c r="I25" s="17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732</v>
      </c>
      <c r="B26" s="17" t="s">
        <v>476</v>
      </c>
      <c r="C26" s="18" t="n">
        <v>0</v>
      </c>
      <c r="D26" s="18" t="n">
        <v>0</v>
      </c>
      <c r="E26" s="19"/>
      <c r="F26" s="19"/>
      <c r="G26" s="19"/>
      <c r="H26" s="18" t="str">
        <f aca="false">IF(COUNT(C26:G26)=5,SUM(C26:G26),"")</f>
        <v/>
      </c>
      <c r="I26" s="17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733</v>
      </c>
      <c r="B27" s="17" t="s">
        <v>712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734</v>
      </c>
      <c r="B28" s="17" t="s">
        <v>712</v>
      </c>
      <c r="C28" s="18" t="n">
        <v>3</v>
      </c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735</v>
      </c>
      <c r="B29" s="17" t="s">
        <v>712</v>
      </c>
      <c r="C29" s="18" t="n">
        <v>3</v>
      </c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2">
    <dataValidation allowBlank="true" error="Aquí solo 1, 2 o 3: el 0 se reserva a las respuestas que no compilan." errorStyle="stop" errorTitle="Valor no válido" operator="between" showDropDown="false" showErrorMessage="true" showInputMessage="false" sqref="D7 D11:D12 D15 D22:D24 D27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736</v>
      </c>
    </row>
    <row r="2" customFormat="false" ht="15" hidden="false" customHeight="false" outlineLevel="0" collapsed="false">
      <c r="A2" s="11" t="s">
        <v>737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738</v>
      </c>
      <c r="B6" s="17" t="s">
        <v>739</v>
      </c>
      <c r="C6" s="19"/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740</v>
      </c>
      <c r="B7" s="17" t="s">
        <v>666</v>
      </c>
      <c r="C7" s="18" t="n">
        <v>0</v>
      </c>
      <c r="D7" s="18" t="n">
        <v>0</v>
      </c>
      <c r="E7" s="19"/>
      <c r="F7" s="19"/>
      <c r="G7" s="19"/>
      <c r="H7" s="18" t="str">
        <f aca="false">IF(COUNT(C7:G7)=5,SUM(C7:G7),"")</f>
        <v/>
      </c>
      <c r="I7" s="17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741</v>
      </c>
      <c r="B8" s="17" t="s">
        <v>141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742</v>
      </c>
      <c r="B9" s="17" t="s">
        <v>739</v>
      </c>
      <c r="C9" s="19"/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743</v>
      </c>
      <c r="B10" s="17" t="s">
        <v>715</v>
      </c>
      <c r="C10" s="18" t="n">
        <v>0</v>
      </c>
      <c r="D10" s="18" t="n">
        <v>0</v>
      </c>
      <c r="E10" s="19"/>
      <c r="F10" s="19"/>
      <c r="G10" s="19"/>
      <c r="H10" s="18" t="str">
        <f aca="false">IF(COUNT(C10:G10)=5,SUM(C10:G10),"")</f>
        <v/>
      </c>
      <c r="I10" s="17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744</v>
      </c>
      <c r="B11" s="17" t="s">
        <v>666</v>
      </c>
      <c r="C11" s="18" t="n">
        <v>0</v>
      </c>
      <c r="D11" s="18" t="n">
        <v>0</v>
      </c>
      <c r="E11" s="19"/>
      <c r="F11" s="19"/>
      <c r="G11" s="19"/>
      <c r="H11" s="18" t="str">
        <f aca="false">IF(COUNT(C11:G11)=5,SUM(C11:G11),"")</f>
        <v/>
      </c>
      <c r="I11" s="17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745</v>
      </c>
      <c r="B12" s="17" t="s">
        <v>739</v>
      </c>
      <c r="C12" s="19"/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746</v>
      </c>
      <c r="B13" s="17" t="s">
        <v>715</v>
      </c>
      <c r="C13" s="18" t="n">
        <v>0</v>
      </c>
      <c r="D13" s="18" t="n">
        <v>0</v>
      </c>
      <c r="E13" s="19"/>
      <c r="F13" s="19"/>
      <c r="G13" s="19"/>
      <c r="H13" s="18" t="str">
        <f aca="false">IF(COUNT(C13:G13)=5,SUM(C13:G13),"")</f>
        <v/>
      </c>
      <c r="I13" s="17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747</v>
      </c>
      <c r="B14" s="17" t="s">
        <v>666</v>
      </c>
      <c r="C14" s="18" t="n">
        <v>0</v>
      </c>
      <c r="D14" s="18" t="n">
        <v>0</v>
      </c>
      <c r="E14" s="19"/>
      <c r="F14" s="19"/>
      <c r="G14" s="19"/>
      <c r="H14" s="18" t="str">
        <f aca="false">IF(COUNT(C14:G14)=5,SUM(C14:G14),"")</f>
        <v/>
      </c>
      <c r="I14" s="17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748</v>
      </c>
      <c r="B15" s="17" t="s">
        <v>141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749</v>
      </c>
      <c r="B16" s="17" t="s">
        <v>666</v>
      </c>
      <c r="C16" s="18" t="n">
        <v>0</v>
      </c>
      <c r="D16" s="18" t="n">
        <v>0</v>
      </c>
      <c r="E16" s="19"/>
      <c r="F16" s="19"/>
      <c r="G16" s="19"/>
      <c r="H16" s="18" t="str">
        <f aca="false">IF(COUNT(C16:G16)=5,SUM(C16:G16),"")</f>
        <v/>
      </c>
      <c r="I16" s="17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750</v>
      </c>
      <c r="B17" s="17" t="s">
        <v>141</v>
      </c>
      <c r="C17" s="18" t="n">
        <v>3</v>
      </c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751</v>
      </c>
      <c r="B18" s="17" t="s">
        <v>666</v>
      </c>
      <c r="C18" s="18" t="n">
        <v>0</v>
      </c>
      <c r="D18" s="18" t="n">
        <v>0</v>
      </c>
      <c r="E18" s="19"/>
      <c r="F18" s="19"/>
      <c r="G18" s="19"/>
      <c r="H18" s="18" t="str">
        <f aca="false">IF(COUNT(C18:G18)=5,SUM(C18:G18),"")</f>
        <v/>
      </c>
      <c r="I18" s="17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752</v>
      </c>
      <c r="B19" s="17" t="s">
        <v>666</v>
      </c>
      <c r="C19" s="18" t="n">
        <v>0</v>
      </c>
      <c r="D19" s="18" t="n">
        <v>0</v>
      </c>
      <c r="E19" s="19"/>
      <c r="F19" s="19"/>
      <c r="G19" s="19"/>
      <c r="H19" s="18" t="str">
        <f aca="false">IF(COUNT(C19:G19)=5,SUM(C19:G19),"")</f>
        <v/>
      </c>
      <c r="I19" s="17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753</v>
      </c>
      <c r="B20" s="17" t="s">
        <v>739</v>
      </c>
      <c r="C20" s="19"/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754</v>
      </c>
      <c r="B21" s="17" t="s">
        <v>141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755</v>
      </c>
      <c r="B22" s="17" t="s">
        <v>739</v>
      </c>
      <c r="C22" s="19"/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756</v>
      </c>
      <c r="B23" s="17" t="s">
        <v>141</v>
      </c>
      <c r="C23" s="18" t="n">
        <v>3</v>
      </c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757</v>
      </c>
      <c r="B24" s="17" t="s">
        <v>666</v>
      </c>
      <c r="C24" s="18" t="n">
        <v>0</v>
      </c>
      <c r="D24" s="18" t="n">
        <v>0</v>
      </c>
      <c r="E24" s="19"/>
      <c r="F24" s="19"/>
      <c r="G24" s="19"/>
      <c r="H24" s="18" t="str">
        <f aca="false">IF(COUNT(C24:G24)=5,SUM(C24:G24),"")</f>
        <v/>
      </c>
      <c r="I24" s="17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758</v>
      </c>
      <c r="B25" s="17" t="s">
        <v>141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759</v>
      </c>
      <c r="B26" s="17" t="s">
        <v>141</v>
      </c>
      <c r="C26" s="18" t="n">
        <v>3</v>
      </c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760</v>
      </c>
      <c r="B27" s="17" t="s">
        <v>739</v>
      </c>
      <c r="C27" s="19"/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761</v>
      </c>
      <c r="B28" s="17" t="s">
        <v>666</v>
      </c>
      <c r="C28" s="18" t="n">
        <v>0</v>
      </c>
      <c r="D28" s="18" t="n">
        <v>0</v>
      </c>
      <c r="E28" s="19"/>
      <c r="F28" s="19"/>
      <c r="G28" s="19"/>
      <c r="H28" s="18" t="str">
        <f aca="false">IF(COUNT(C28:G28)=5,SUM(C28:G28),"")</f>
        <v/>
      </c>
      <c r="I28" s="17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762</v>
      </c>
      <c r="B29" s="17" t="s">
        <v>763</v>
      </c>
      <c r="C29" s="19"/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6 C9 C12 C20 C22 C27 C29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 D8:D9 D12 D15 D17 D20:D23 D25:D27 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764</v>
      </c>
    </row>
    <row r="2" customFormat="false" ht="15" hidden="false" customHeight="false" outlineLevel="0" collapsed="false">
      <c r="A2" s="11" t="s">
        <v>765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766</v>
      </c>
      <c r="B6" s="17" t="s">
        <v>767</v>
      </c>
      <c r="C6" s="18" t="n">
        <v>0</v>
      </c>
      <c r="D6" s="18" t="n">
        <v>0</v>
      </c>
      <c r="E6" s="19"/>
      <c r="F6" s="19"/>
      <c r="G6" s="19"/>
      <c r="H6" s="18" t="str">
        <f aca="false">IF(COUNT(C6:G6)=5,SUM(C6:G6),"")</f>
        <v/>
      </c>
      <c r="I6" s="17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768</v>
      </c>
      <c r="B7" s="17" t="s">
        <v>629</v>
      </c>
      <c r="C7" s="18" t="n">
        <v>0</v>
      </c>
      <c r="D7" s="18" t="n">
        <v>0</v>
      </c>
      <c r="E7" s="19"/>
      <c r="F7" s="19"/>
      <c r="G7" s="19"/>
      <c r="H7" s="18" t="str">
        <f aca="false">IF(COUNT(C7:G7)=5,SUM(C7:G7),"")</f>
        <v/>
      </c>
      <c r="I7" s="17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769</v>
      </c>
      <c r="B8" s="17" t="s">
        <v>606</v>
      </c>
      <c r="C8" s="18" t="n">
        <v>0</v>
      </c>
      <c r="D8" s="18" t="n">
        <v>0</v>
      </c>
      <c r="E8" s="19"/>
      <c r="F8" s="19"/>
      <c r="G8" s="19"/>
      <c r="H8" s="18" t="str">
        <f aca="false">IF(COUNT(C8:G8)=5,SUM(C8:G8),"")</f>
        <v/>
      </c>
      <c r="I8" s="17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770</v>
      </c>
      <c r="B9" s="17" t="s">
        <v>771</v>
      </c>
      <c r="C9" s="18" t="n">
        <v>3</v>
      </c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772</v>
      </c>
      <c r="B10" s="17" t="s">
        <v>773</v>
      </c>
      <c r="C10" s="18" t="n">
        <v>0</v>
      </c>
      <c r="D10" s="18" t="n">
        <v>0</v>
      </c>
      <c r="E10" s="19"/>
      <c r="F10" s="19"/>
      <c r="G10" s="19"/>
      <c r="H10" s="18" t="str">
        <f aca="false">IF(COUNT(C10:G10)=5,SUM(C10:G10),"")</f>
        <v/>
      </c>
      <c r="I10" s="17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774</v>
      </c>
      <c r="B11" s="17" t="s">
        <v>771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775</v>
      </c>
      <c r="B12" s="17" t="s">
        <v>776</v>
      </c>
      <c r="C12" s="18" t="n">
        <v>0</v>
      </c>
      <c r="D12" s="18" t="n">
        <v>0</v>
      </c>
      <c r="E12" s="19"/>
      <c r="F12" s="19"/>
      <c r="G12" s="19"/>
      <c r="H12" s="18" t="str">
        <f aca="false">IF(COUNT(C12:G12)=5,SUM(C12:G12),"")</f>
        <v/>
      </c>
      <c r="I12" s="17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777</v>
      </c>
      <c r="B13" s="17" t="s">
        <v>771</v>
      </c>
      <c r="C13" s="18" t="n">
        <v>3</v>
      </c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778</v>
      </c>
      <c r="B14" s="17" t="s">
        <v>771</v>
      </c>
      <c r="C14" s="18" t="n">
        <v>3</v>
      </c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779</v>
      </c>
      <c r="B15" s="17" t="s">
        <v>771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780</v>
      </c>
      <c r="B16" s="17" t="s">
        <v>781</v>
      </c>
      <c r="C16" s="19"/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782</v>
      </c>
      <c r="B17" s="17" t="s">
        <v>771</v>
      </c>
      <c r="C17" s="18" t="n">
        <v>3</v>
      </c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783</v>
      </c>
      <c r="B18" s="17" t="s">
        <v>666</v>
      </c>
      <c r="C18" s="18" t="n">
        <v>0</v>
      </c>
      <c r="D18" s="18" t="n">
        <v>0</v>
      </c>
      <c r="E18" s="19"/>
      <c r="F18" s="19"/>
      <c r="G18" s="19"/>
      <c r="H18" s="18" t="str">
        <f aca="false">IF(COUNT(C18:G18)=5,SUM(C18:G18),"")</f>
        <v/>
      </c>
      <c r="I18" s="17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784</v>
      </c>
      <c r="B19" s="17" t="s">
        <v>771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785</v>
      </c>
      <c r="B20" s="17" t="s">
        <v>606</v>
      </c>
      <c r="C20" s="18" t="n">
        <v>0</v>
      </c>
      <c r="D20" s="18" t="n">
        <v>0</v>
      </c>
      <c r="E20" s="19"/>
      <c r="F20" s="19"/>
      <c r="G20" s="19"/>
      <c r="H20" s="18" t="str">
        <f aca="false">IF(COUNT(C20:G20)=5,SUM(C20:G20),"")</f>
        <v/>
      </c>
      <c r="I20" s="17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786</v>
      </c>
      <c r="B21" s="17" t="s">
        <v>771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787</v>
      </c>
      <c r="B22" s="17" t="s">
        <v>788</v>
      </c>
      <c r="C22" s="18" t="n">
        <v>0</v>
      </c>
      <c r="D22" s="18" t="n">
        <v>0</v>
      </c>
      <c r="E22" s="19"/>
      <c r="F22" s="19"/>
      <c r="G22" s="19"/>
      <c r="H22" s="18" t="str">
        <f aca="false">IF(COUNT(C22:G22)=5,SUM(C22:G22),"")</f>
        <v/>
      </c>
      <c r="I22" s="17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789</v>
      </c>
      <c r="B23" s="17" t="s">
        <v>781</v>
      </c>
      <c r="C23" s="19"/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790</v>
      </c>
      <c r="B24" s="17" t="s">
        <v>606</v>
      </c>
      <c r="C24" s="18" t="n">
        <v>0</v>
      </c>
      <c r="D24" s="18" t="n">
        <v>0</v>
      </c>
      <c r="E24" s="19"/>
      <c r="F24" s="19"/>
      <c r="G24" s="19"/>
      <c r="H24" s="18" t="str">
        <f aca="false">IF(COUNT(C24:G24)=5,SUM(C24:G24),"")</f>
        <v/>
      </c>
      <c r="I24" s="17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791</v>
      </c>
      <c r="B25" s="17" t="s">
        <v>771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792</v>
      </c>
      <c r="B26" s="17" t="s">
        <v>666</v>
      </c>
      <c r="C26" s="18" t="n">
        <v>0</v>
      </c>
      <c r="D26" s="18" t="n">
        <v>0</v>
      </c>
      <c r="E26" s="19"/>
      <c r="F26" s="19"/>
      <c r="G26" s="19"/>
      <c r="H26" s="18" t="str">
        <f aca="false">IF(COUNT(C26:G26)=5,SUM(C26:G26),"")</f>
        <v/>
      </c>
      <c r="I26" s="17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793</v>
      </c>
      <c r="B27" s="17" t="s">
        <v>776</v>
      </c>
      <c r="C27" s="18" t="n">
        <v>0</v>
      </c>
      <c r="D27" s="18" t="n">
        <v>0</v>
      </c>
      <c r="E27" s="19"/>
      <c r="F27" s="19"/>
      <c r="G27" s="19"/>
      <c r="H27" s="18" t="str">
        <f aca="false">IF(COUNT(C27:G27)=5,SUM(C27:G27),"")</f>
        <v/>
      </c>
      <c r="I27" s="17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794</v>
      </c>
      <c r="B28" s="17" t="s">
        <v>795</v>
      </c>
      <c r="C28" s="18" t="n">
        <v>0</v>
      </c>
      <c r="D28" s="18" t="n">
        <v>0</v>
      </c>
      <c r="E28" s="19"/>
      <c r="F28" s="19"/>
      <c r="G28" s="19"/>
      <c r="H28" s="18" t="str">
        <f aca="false">IF(COUNT(C28:G28)=5,SUM(C28:G28),"")</f>
        <v/>
      </c>
      <c r="I28" s="17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796</v>
      </c>
      <c r="B29" s="17" t="s">
        <v>781</v>
      </c>
      <c r="C29" s="19"/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16 C23 C29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9 D11 D13:D17 D19 D21 D23 D25 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797</v>
      </c>
    </row>
    <row r="2" customFormat="false" ht="15" hidden="false" customHeight="false" outlineLevel="0" collapsed="false">
      <c r="A2" s="11" t="s">
        <v>798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799</v>
      </c>
      <c r="B6" s="17" t="s">
        <v>800</v>
      </c>
      <c r="C6" s="19"/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801</v>
      </c>
      <c r="B7" s="17" t="s">
        <v>800</v>
      </c>
      <c r="C7" s="19"/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802</v>
      </c>
      <c r="B8" s="17" t="s">
        <v>604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803</v>
      </c>
      <c r="B9" s="17" t="s">
        <v>604</v>
      </c>
      <c r="C9" s="18" t="n">
        <v>3</v>
      </c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804</v>
      </c>
      <c r="B10" s="17" t="s">
        <v>604</v>
      </c>
      <c r="C10" s="18" t="n">
        <v>3</v>
      </c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805</v>
      </c>
      <c r="B11" s="17" t="s">
        <v>604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806</v>
      </c>
      <c r="B12" s="17" t="s">
        <v>604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807</v>
      </c>
      <c r="B13" s="17" t="s">
        <v>800</v>
      </c>
      <c r="C13" s="19"/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808</v>
      </c>
      <c r="B14" s="17" t="s">
        <v>604</v>
      </c>
      <c r="C14" s="18" t="n">
        <v>3</v>
      </c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809</v>
      </c>
      <c r="B15" s="17" t="s">
        <v>604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810</v>
      </c>
      <c r="B16" s="17" t="s">
        <v>604</v>
      </c>
      <c r="C16" s="18" t="n">
        <v>3</v>
      </c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811</v>
      </c>
      <c r="B17" s="17" t="s">
        <v>800</v>
      </c>
      <c r="C17" s="19"/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812</v>
      </c>
      <c r="B18" s="17" t="s">
        <v>604</v>
      </c>
      <c r="C18" s="18" t="n">
        <v>3</v>
      </c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813</v>
      </c>
      <c r="B19" s="17" t="s">
        <v>604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814</v>
      </c>
      <c r="B20" s="17" t="s">
        <v>604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815</v>
      </c>
      <c r="B21" s="17" t="s">
        <v>800</v>
      </c>
      <c r="C21" s="19"/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816</v>
      </c>
      <c r="B22" s="17" t="s">
        <v>604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817</v>
      </c>
      <c r="B23" s="17" t="s">
        <v>604</v>
      </c>
      <c r="C23" s="18" t="n">
        <v>3</v>
      </c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818</v>
      </c>
      <c r="B24" s="17" t="s">
        <v>800</v>
      </c>
      <c r="C24" s="19"/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819</v>
      </c>
      <c r="B25" s="17" t="s">
        <v>820</v>
      </c>
      <c r="C25" s="19"/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821</v>
      </c>
      <c r="B26" s="17" t="s">
        <v>820</v>
      </c>
      <c r="C26" s="19"/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822</v>
      </c>
      <c r="B27" s="17" t="s">
        <v>604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823</v>
      </c>
      <c r="B28" s="17" t="s">
        <v>800</v>
      </c>
      <c r="C28" s="19"/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824</v>
      </c>
      <c r="B29" s="17" t="s">
        <v>800</v>
      </c>
      <c r="C29" s="19"/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6:C7 C13 C17 C21 C24:C26 C28:C29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825</v>
      </c>
    </row>
    <row r="2" customFormat="false" ht="15" hidden="false" customHeight="false" outlineLevel="0" collapsed="false">
      <c r="A2" s="11" t="s">
        <v>826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827</v>
      </c>
      <c r="B6" s="17" t="s">
        <v>112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828</v>
      </c>
      <c r="B7" s="17" t="s">
        <v>180</v>
      </c>
      <c r="C7" s="18" t="n">
        <v>0</v>
      </c>
      <c r="D7" s="18" t="n">
        <v>0</v>
      </c>
      <c r="E7" s="19"/>
      <c r="F7" s="19"/>
      <c r="G7" s="19"/>
      <c r="H7" s="18" t="str">
        <f aca="false">IF(COUNT(C7:G7)=5,SUM(C7:G7),"")</f>
        <v/>
      </c>
      <c r="I7" s="17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829</v>
      </c>
      <c r="B8" s="17" t="s">
        <v>112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830</v>
      </c>
      <c r="B9" s="17" t="s">
        <v>112</v>
      </c>
      <c r="C9" s="18" t="n">
        <v>3</v>
      </c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831</v>
      </c>
      <c r="B10" s="17" t="s">
        <v>112</v>
      </c>
      <c r="C10" s="18" t="n">
        <v>3</v>
      </c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832</v>
      </c>
      <c r="B11" s="17" t="s">
        <v>112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833</v>
      </c>
      <c r="B12" s="17" t="s">
        <v>112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834</v>
      </c>
      <c r="B13" s="17" t="s">
        <v>112</v>
      </c>
      <c r="C13" s="18" t="n">
        <v>3</v>
      </c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835</v>
      </c>
      <c r="B14" s="17" t="s">
        <v>112</v>
      </c>
      <c r="C14" s="18" t="n">
        <v>3</v>
      </c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836</v>
      </c>
      <c r="B15" s="17" t="s">
        <v>112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837</v>
      </c>
      <c r="B16" s="17" t="s">
        <v>172</v>
      </c>
      <c r="C16" s="19"/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838</v>
      </c>
      <c r="B17" s="17" t="s">
        <v>112</v>
      </c>
      <c r="C17" s="18" t="n">
        <v>3</v>
      </c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839</v>
      </c>
      <c r="B18" s="17" t="s">
        <v>112</v>
      </c>
      <c r="C18" s="18" t="n">
        <v>3</v>
      </c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840</v>
      </c>
      <c r="B19" s="17" t="s">
        <v>112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841</v>
      </c>
      <c r="B20" s="17" t="s">
        <v>112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842</v>
      </c>
      <c r="B21" s="17" t="s">
        <v>112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843</v>
      </c>
      <c r="B22" s="17" t="s">
        <v>112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844</v>
      </c>
      <c r="B23" s="17" t="s">
        <v>112</v>
      </c>
      <c r="C23" s="18" t="n">
        <v>3</v>
      </c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845</v>
      </c>
      <c r="B24" s="17" t="s">
        <v>112</v>
      </c>
      <c r="C24" s="18" t="n">
        <v>3</v>
      </c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846</v>
      </c>
      <c r="B25" s="17" t="s">
        <v>112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847</v>
      </c>
      <c r="B26" s="17" t="s">
        <v>112</v>
      </c>
      <c r="C26" s="18" t="n">
        <v>3</v>
      </c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848</v>
      </c>
      <c r="B27" s="17" t="s">
        <v>112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849</v>
      </c>
      <c r="B28" s="17" t="s">
        <v>112</v>
      </c>
      <c r="C28" s="18" t="n">
        <v>3</v>
      </c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850</v>
      </c>
      <c r="B29" s="17" t="s">
        <v>112</v>
      </c>
      <c r="C29" s="18" t="n">
        <v>3</v>
      </c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1, 2 o 3: el 0 se reserva a las respuestas que no compilan." errorStyle="stop" errorTitle="Valor no válido" operator="between" showDropDown="false" showErrorMessage="true" showInputMessage="false" sqref="D6 D8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  <dataValidation allowBlank="true" error="Aquí solo 0, 1 o 2: el 3 se reserva a las respuestas que pasan todos los pasos." errorStyle="stop" errorTitle="Valor no válido" operator="between" showDropDown="false" showErrorMessage="true" showInputMessage="false" sqref="C16" type="list">
      <formula1>"0,1,2"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2" min="10" style="0" width="30"/>
    <col collapsed="false" customWidth="true" hidden="false" outlineLevel="0" max="13" min="13" style="0" width="28"/>
    <col collapsed="false" customWidth="true" hidden="false" outlineLevel="0" max="14" min="14" style="0" width="11"/>
  </cols>
  <sheetData>
    <row r="1" customFormat="false" ht="16.15" hidden="false" customHeight="false" outlineLevel="0" collapsed="false">
      <c r="A1" s="10" t="s">
        <v>851</v>
      </c>
    </row>
    <row r="2" customFormat="false" ht="15" hidden="false" customHeight="false" outlineLevel="0" collapsed="false">
      <c r="A2" s="11" t="s">
        <v>852</v>
      </c>
    </row>
    <row r="4" customFormat="false" ht="48" hidden="false" customHeight="true" outlineLevel="0" collapsed="false">
      <c r="A4" s="4" t="s">
        <v>91</v>
      </c>
      <c r="B4" s="4" t="s">
        <v>92</v>
      </c>
      <c r="C4" s="4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102</v>
      </c>
      <c r="M4" s="4" t="s">
        <v>103</v>
      </c>
      <c r="N4" s="4" t="s">
        <v>104</v>
      </c>
    </row>
    <row r="5" customFormat="false" ht="30" hidden="false" customHeight="true" outlineLevel="0" collapsed="false">
      <c r="A5" s="14" t="s">
        <v>105</v>
      </c>
      <c r="B5" s="15" t="s">
        <v>106</v>
      </c>
      <c r="C5" s="14" t="n">
        <v>1</v>
      </c>
      <c r="D5" s="14" t="n">
        <v>2</v>
      </c>
      <c r="E5" s="14" t="n">
        <v>2</v>
      </c>
      <c r="F5" s="14" t="n">
        <v>2</v>
      </c>
      <c r="G5" s="14" t="n">
        <v>1</v>
      </c>
      <c r="H5" s="14" t="n">
        <f aca="false">IF(COUNT(C5:G5)=5,SUM(C5:G5),"")</f>
        <v>8</v>
      </c>
      <c r="I5" s="15" t="s">
        <v>107</v>
      </c>
      <c r="J5" s="15" t="s">
        <v>108</v>
      </c>
      <c r="K5" s="15" t="s">
        <v>109</v>
      </c>
      <c r="L5" s="15" t="s">
        <v>110</v>
      </c>
      <c r="M5" s="15"/>
      <c r="N5" s="14" t="str">
        <f aca="false">IF(COUNT(C5:G5)=5,"Completa","Falta")</f>
        <v>Completa</v>
      </c>
    </row>
    <row r="6" customFormat="false" ht="30" hidden="false" customHeight="true" outlineLevel="0" collapsed="false">
      <c r="A6" s="16" t="s">
        <v>853</v>
      </c>
      <c r="B6" s="17" t="s">
        <v>141</v>
      </c>
      <c r="C6" s="18" t="n">
        <v>3</v>
      </c>
      <c r="D6" s="19"/>
      <c r="E6" s="19"/>
      <c r="F6" s="19"/>
      <c r="G6" s="19"/>
      <c r="H6" s="18" t="str">
        <f aca="false">IF(COUNT(C6:G6)=5,SUM(C6:G6),"")</f>
        <v/>
      </c>
      <c r="I6" s="20"/>
      <c r="J6" s="20"/>
      <c r="K6" s="20"/>
      <c r="L6" s="20"/>
      <c r="M6" s="20"/>
      <c r="N6" s="18" t="str">
        <f aca="false">IF(COUNT(C6:G6)=5,"Completa","Falta")</f>
        <v>Falta</v>
      </c>
    </row>
    <row r="7" customFormat="false" ht="30" hidden="false" customHeight="true" outlineLevel="0" collapsed="false">
      <c r="A7" s="16" t="s">
        <v>854</v>
      </c>
      <c r="B7" s="17" t="s">
        <v>141</v>
      </c>
      <c r="C7" s="18" t="n">
        <v>3</v>
      </c>
      <c r="D7" s="19"/>
      <c r="E7" s="19"/>
      <c r="F7" s="19"/>
      <c r="G7" s="19"/>
      <c r="H7" s="18" t="str">
        <f aca="false">IF(COUNT(C7:G7)=5,SUM(C7:G7),"")</f>
        <v/>
      </c>
      <c r="I7" s="20"/>
      <c r="J7" s="20"/>
      <c r="K7" s="20"/>
      <c r="L7" s="20"/>
      <c r="M7" s="20"/>
      <c r="N7" s="18" t="str">
        <f aca="false">IF(COUNT(C7:G7)=5,"Completa","Falta")</f>
        <v>Falta</v>
      </c>
    </row>
    <row r="8" customFormat="false" ht="30" hidden="false" customHeight="true" outlineLevel="0" collapsed="false">
      <c r="A8" s="16" t="s">
        <v>855</v>
      </c>
      <c r="B8" s="17" t="s">
        <v>141</v>
      </c>
      <c r="C8" s="18" t="n">
        <v>3</v>
      </c>
      <c r="D8" s="19"/>
      <c r="E8" s="19"/>
      <c r="F8" s="19"/>
      <c r="G8" s="19"/>
      <c r="H8" s="18" t="str">
        <f aca="false">IF(COUNT(C8:G8)=5,SUM(C8:G8),"")</f>
        <v/>
      </c>
      <c r="I8" s="20"/>
      <c r="J8" s="20"/>
      <c r="K8" s="20"/>
      <c r="L8" s="20"/>
      <c r="M8" s="20"/>
      <c r="N8" s="18" t="str">
        <f aca="false">IF(COUNT(C8:G8)=5,"Completa","Falta")</f>
        <v>Falta</v>
      </c>
    </row>
    <row r="9" customFormat="false" ht="30" hidden="false" customHeight="true" outlineLevel="0" collapsed="false">
      <c r="A9" s="16" t="s">
        <v>856</v>
      </c>
      <c r="B9" s="17" t="s">
        <v>141</v>
      </c>
      <c r="C9" s="18" t="n">
        <v>3</v>
      </c>
      <c r="D9" s="19"/>
      <c r="E9" s="19"/>
      <c r="F9" s="19"/>
      <c r="G9" s="19"/>
      <c r="H9" s="18" t="str">
        <f aca="false">IF(COUNT(C9:G9)=5,SUM(C9:G9),"")</f>
        <v/>
      </c>
      <c r="I9" s="20"/>
      <c r="J9" s="20"/>
      <c r="K9" s="20"/>
      <c r="L9" s="20"/>
      <c r="M9" s="20"/>
      <c r="N9" s="18" t="str">
        <f aca="false">IF(COUNT(C9:G9)=5,"Completa","Falta")</f>
        <v>Falta</v>
      </c>
    </row>
    <row r="10" customFormat="false" ht="30" hidden="false" customHeight="true" outlineLevel="0" collapsed="false">
      <c r="A10" s="16" t="s">
        <v>857</v>
      </c>
      <c r="B10" s="17" t="s">
        <v>141</v>
      </c>
      <c r="C10" s="18" t="n">
        <v>3</v>
      </c>
      <c r="D10" s="19"/>
      <c r="E10" s="19"/>
      <c r="F10" s="19"/>
      <c r="G10" s="19"/>
      <c r="H10" s="18" t="str">
        <f aca="false">IF(COUNT(C10:G10)=5,SUM(C10:G10),"")</f>
        <v/>
      </c>
      <c r="I10" s="20"/>
      <c r="J10" s="20"/>
      <c r="K10" s="20"/>
      <c r="L10" s="20"/>
      <c r="M10" s="20"/>
      <c r="N10" s="18" t="str">
        <f aca="false">IF(COUNT(C10:G10)=5,"Completa","Falta")</f>
        <v>Falta</v>
      </c>
    </row>
    <row r="11" customFormat="false" ht="30" hidden="false" customHeight="true" outlineLevel="0" collapsed="false">
      <c r="A11" s="16" t="s">
        <v>858</v>
      </c>
      <c r="B11" s="17" t="s">
        <v>141</v>
      </c>
      <c r="C11" s="18" t="n">
        <v>3</v>
      </c>
      <c r="D11" s="19"/>
      <c r="E11" s="19"/>
      <c r="F11" s="19"/>
      <c r="G11" s="19"/>
      <c r="H11" s="18" t="str">
        <f aca="false">IF(COUNT(C11:G11)=5,SUM(C11:G11),"")</f>
        <v/>
      </c>
      <c r="I11" s="20"/>
      <c r="J11" s="20"/>
      <c r="K11" s="20"/>
      <c r="L11" s="20"/>
      <c r="M11" s="20"/>
      <c r="N11" s="18" t="str">
        <f aca="false">IF(COUNT(C11:G11)=5,"Completa","Falta")</f>
        <v>Falta</v>
      </c>
    </row>
    <row r="12" customFormat="false" ht="30" hidden="false" customHeight="true" outlineLevel="0" collapsed="false">
      <c r="A12" s="16" t="s">
        <v>859</v>
      </c>
      <c r="B12" s="17" t="s">
        <v>141</v>
      </c>
      <c r="C12" s="18" t="n">
        <v>3</v>
      </c>
      <c r="D12" s="19"/>
      <c r="E12" s="19"/>
      <c r="F12" s="19"/>
      <c r="G12" s="19"/>
      <c r="H12" s="18" t="str">
        <f aca="false">IF(COUNT(C12:G12)=5,SUM(C12:G12),"")</f>
        <v/>
      </c>
      <c r="I12" s="20"/>
      <c r="J12" s="20"/>
      <c r="K12" s="20"/>
      <c r="L12" s="20"/>
      <c r="M12" s="20"/>
      <c r="N12" s="18" t="str">
        <f aca="false">IF(COUNT(C12:G12)=5,"Completa","Falta")</f>
        <v>Falta</v>
      </c>
    </row>
    <row r="13" customFormat="false" ht="30" hidden="false" customHeight="true" outlineLevel="0" collapsed="false">
      <c r="A13" s="16" t="s">
        <v>860</v>
      </c>
      <c r="B13" s="17" t="s">
        <v>141</v>
      </c>
      <c r="C13" s="18" t="n">
        <v>3</v>
      </c>
      <c r="D13" s="19"/>
      <c r="E13" s="19"/>
      <c r="F13" s="19"/>
      <c r="G13" s="19"/>
      <c r="H13" s="18" t="str">
        <f aca="false">IF(COUNT(C13:G13)=5,SUM(C13:G13),"")</f>
        <v/>
      </c>
      <c r="I13" s="20"/>
      <c r="J13" s="20"/>
      <c r="K13" s="20"/>
      <c r="L13" s="20"/>
      <c r="M13" s="20"/>
      <c r="N13" s="18" t="str">
        <f aca="false">IF(COUNT(C13:G13)=5,"Completa","Falta")</f>
        <v>Falta</v>
      </c>
    </row>
    <row r="14" customFormat="false" ht="30" hidden="false" customHeight="true" outlineLevel="0" collapsed="false">
      <c r="A14" s="16" t="s">
        <v>861</v>
      </c>
      <c r="B14" s="17" t="s">
        <v>161</v>
      </c>
      <c r="C14" s="19"/>
      <c r="D14" s="19"/>
      <c r="E14" s="19"/>
      <c r="F14" s="19"/>
      <c r="G14" s="19"/>
      <c r="H14" s="18" t="str">
        <f aca="false">IF(COUNT(C14:G14)=5,SUM(C14:G14),"")</f>
        <v/>
      </c>
      <c r="I14" s="20"/>
      <c r="J14" s="20"/>
      <c r="K14" s="20"/>
      <c r="L14" s="20"/>
      <c r="M14" s="20"/>
      <c r="N14" s="18" t="str">
        <f aca="false">IF(COUNT(C14:G14)=5,"Completa","Falta")</f>
        <v>Falta</v>
      </c>
    </row>
    <row r="15" customFormat="false" ht="30" hidden="false" customHeight="true" outlineLevel="0" collapsed="false">
      <c r="A15" s="16" t="s">
        <v>862</v>
      </c>
      <c r="B15" s="17" t="s">
        <v>141</v>
      </c>
      <c r="C15" s="18" t="n">
        <v>3</v>
      </c>
      <c r="D15" s="19"/>
      <c r="E15" s="19"/>
      <c r="F15" s="19"/>
      <c r="G15" s="19"/>
      <c r="H15" s="18" t="str">
        <f aca="false">IF(COUNT(C15:G15)=5,SUM(C15:G15),"")</f>
        <v/>
      </c>
      <c r="I15" s="20"/>
      <c r="J15" s="20"/>
      <c r="K15" s="20"/>
      <c r="L15" s="20"/>
      <c r="M15" s="20"/>
      <c r="N15" s="18" t="str">
        <f aca="false">IF(COUNT(C15:G15)=5,"Completa","Falta")</f>
        <v>Falta</v>
      </c>
    </row>
    <row r="16" customFormat="false" ht="30" hidden="false" customHeight="true" outlineLevel="0" collapsed="false">
      <c r="A16" s="16" t="s">
        <v>863</v>
      </c>
      <c r="B16" s="17" t="s">
        <v>864</v>
      </c>
      <c r="C16" s="19"/>
      <c r="D16" s="19"/>
      <c r="E16" s="19"/>
      <c r="F16" s="19"/>
      <c r="G16" s="19"/>
      <c r="H16" s="18" t="str">
        <f aca="false">IF(COUNT(C16:G16)=5,SUM(C16:G16),"")</f>
        <v/>
      </c>
      <c r="I16" s="20"/>
      <c r="J16" s="20"/>
      <c r="K16" s="20"/>
      <c r="L16" s="20"/>
      <c r="M16" s="20"/>
      <c r="N16" s="18" t="str">
        <f aca="false">IF(COUNT(C16:G16)=5,"Completa","Falta")</f>
        <v>Falta</v>
      </c>
    </row>
    <row r="17" customFormat="false" ht="30" hidden="false" customHeight="true" outlineLevel="0" collapsed="false">
      <c r="A17" s="16" t="s">
        <v>865</v>
      </c>
      <c r="B17" s="17" t="s">
        <v>141</v>
      </c>
      <c r="C17" s="18" t="n">
        <v>3</v>
      </c>
      <c r="D17" s="19"/>
      <c r="E17" s="19"/>
      <c r="F17" s="19"/>
      <c r="G17" s="19"/>
      <c r="H17" s="18" t="str">
        <f aca="false">IF(COUNT(C17:G17)=5,SUM(C17:G17),"")</f>
        <v/>
      </c>
      <c r="I17" s="20"/>
      <c r="J17" s="20"/>
      <c r="K17" s="20"/>
      <c r="L17" s="20"/>
      <c r="M17" s="20"/>
      <c r="N17" s="18" t="str">
        <f aca="false">IF(COUNT(C17:G17)=5,"Completa","Falta")</f>
        <v>Falta</v>
      </c>
    </row>
    <row r="18" customFormat="false" ht="30" hidden="false" customHeight="true" outlineLevel="0" collapsed="false">
      <c r="A18" s="16" t="s">
        <v>866</v>
      </c>
      <c r="B18" s="17" t="s">
        <v>161</v>
      </c>
      <c r="C18" s="19"/>
      <c r="D18" s="19"/>
      <c r="E18" s="19"/>
      <c r="F18" s="19"/>
      <c r="G18" s="19"/>
      <c r="H18" s="18" t="str">
        <f aca="false">IF(COUNT(C18:G18)=5,SUM(C18:G18),"")</f>
        <v/>
      </c>
      <c r="I18" s="20"/>
      <c r="J18" s="20"/>
      <c r="K18" s="20"/>
      <c r="L18" s="20"/>
      <c r="M18" s="20"/>
      <c r="N18" s="18" t="str">
        <f aca="false">IF(COUNT(C18:G18)=5,"Completa","Falta")</f>
        <v>Falta</v>
      </c>
    </row>
    <row r="19" customFormat="false" ht="30" hidden="false" customHeight="true" outlineLevel="0" collapsed="false">
      <c r="A19" s="16" t="s">
        <v>867</v>
      </c>
      <c r="B19" s="17" t="s">
        <v>141</v>
      </c>
      <c r="C19" s="18" t="n">
        <v>3</v>
      </c>
      <c r="D19" s="19"/>
      <c r="E19" s="19"/>
      <c r="F19" s="19"/>
      <c r="G19" s="19"/>
      <c r="H19" s="18" t="str">
        <f aca="false">IF(COUNT(C19:G19)=5,SUM(C19:G19),"")</f>
        <v/>
      </c>
      <c r="I19" s="20"/>
      <c r="J19" s="20"/>
      <c r="K19" s="20"/>
      <c r="L19" s="20"/>
      <c r="M19" s="20"/>
      <c r="N19" s="18" t="str">
        <f aca="false">IF(COUNT(C19:G19)=5,"Completa","Falta")</f>
        <v>Falta</v>
      </c>
    </row>
    <row r="20" customFormat="false" ht="30" hidden="false" customHeight="true" outlineLevel="0" collapsed="false">
      <c r="A20" s="16" t="s">
        <v>868</v>
      </c>
      <c r="B20" s="17" t="s">
        <v>141</v>
      </c>
      <c r="C20" s="18" t="n">
        <v>3</v>
      </c>
      <c r="D20" s="19"/>
      <c r="E20" s="19"/>
      <c r="F20" s="19"/>
      <c r="G20" s="19"/>
      <c r="H20" s="18" t="str">
        <f aca="false">IF(COUNT(C20:G20)=5,SUM(C20:G20),"")</f>
        <v/>
      </c>
      <c r="I20" s="20"/>
      <c r="J20" s="20"/>
      <c r="K20" s="20"/>
      <c r="L20" s="20"/>
      <c r="M20" s="20"/>
      <c r="N20" s="18" t="str">
        <f aca="false">IF(COUNT(C20:G20)=5,"Completa","Falta")</f>
        <v>Falta</v>
      </c>
    </row>
    <row r="21" customFormat="false" ht="30" hidden="false" customHeight="true" outlineLevel="0" collapsed="false">
      <c r="A21" s="16" t="s">
        <v>869</v>
      </c>
      <c r="B21" s="17" t="s">
        <v>141</v>
      </c>
      <c r="C21" s="18" t="n">
        <v>3</v>
      </c>
      <c r="D21" s="19"/>
      <c r="E21" s="19"/>
      <c r="F21" s="19"/>
      <c r="G21" s="19"/>
      <c r="H21" s="18" t="str">
        <f aca="false">IF(COUNT(C21:G21)=5,SUM(C21:G21),"")</f>
        <v/>
      </c>
      <c r="I21" s="20"/>
      <c r="J21" s="20"/>
      <c r="K21" s="20"/>
      <c r="L21" s="20"/>
      <c r="M21" s="20"/>
      <c r="N21" s="18" t="str">
        <f aca="false">IF(COUNT(C21:G21)=5,"Completa","Falta")</f>
        <v>Falta</v>
      </c>
    </row>
    <row r="22" customFormat="false" ht="30" hidden="false" customHeight="true" outlineLevel="0" collapsed="false">
      <c r="A22" s="16" t="s">
        <v>870</v>
      </c>
      <c r="B22" s="17" t="s">
        <v>141</v>
      </c>
      <c r="C22" s="18" t="n">
        <v>3</v>
      </c>
      <c r="D22" s="19"/>
      <c r="E22" s="19"/>
      <c r="F22" s="19"/>
      <c r="G22" s="19"/>
      <c r="H22" s="18" t="str">
        <f aca="false">IF(COUNT(C22:G22)=5,SUM(C22:G22),"")</f>
        <v/>
      </c>
      <c r="I22" s="20"/>
      <c r="J22" s="20"/>
      <c r="K22" s="20"/>
      <c r="L22" s="20"/>
      <c r="M22" s="20"/>
      <c r="N22" s="18" t="str">
        <f aca="false">IF(COUNT(C22:G22)=5,"Completa","Falta")</f>
        <v>Falta</v>
      </c>
    </row>
    <row r="23" customFormat="false" ht="30" hidden="false" customHeight="true" outlineLevel="0" collapsed="false">
      <c r="A23" s="16" t="s">
        <v>871</v>
      </c>
      <c r="B23" s="17" t="s">
        <v>141</v>
      </c>
      <c r="C23" s="18" t="n">
        <v>3</v>
      </c>
      <c r="D23" s="19"/>
      <c r="E23" s="19"/>
      <c r="F23" s="19"/>
      <c r="G23" s="19"/>
      <c r="H23" s="18" t="str">
        <f aca="false">IF(COUNT(C23:G23)=5,SUM(C23:G23),"")</f>
        <v/>
      </c>
      <c r="I23" s="20"/>
      <c r="J23" s="20"/>
      <c r="K23" s="20"/>
      <c r="L23" s="20"/>
      <c r="M23" s="20"/>
      <c r="N23" s="18" t="str">
        <f aca="false">IF(COUNT(C23:G23)=5,"Completa","Falta")</f>
        <v>Falta</v>
      </c>
    </row>
    <row r="24" customFormat="false" ht="30" hidden="false" customHeight="true" outlineLevel="0" collapsed="false">
      <c r="A24" s="16" t="s">
        <v>872</v>
      </c>
      <c r="B24" s="17" t="s">
        <v>141</v>
      </c>
      <c r="C24" s="18" t="n">
        <v>3</v>
      </c>
      <c r="D24" s="19"/>
      <c r="E24" s="19"/>
      <c r="F24" s="19"/>
      <c r="G24" s="19"/>
      <c r="H24" s="18" t="str">
        <f aca="false">IF(COUNT(C24:G24)=5,SUM(C24:G24),"")</f>
        <v/>
      </c>
      <c r="I24" s="20"/>
      <c r="J24" s="20"/>
      <c r="K24" s="20"/>
      <c r="L24" s="20"/>
      <c r="M24" s="20"/>
      <c r="N24" s="18" t="str">
        <f aca="false">IF(COUNT(C24:G24)=5,"Completa","Falta")</f>
        <v>Falta</v>
      </c>
    </row>
    <row r="25" customFormat="false" ht="30" hidden="false" customHeight="true" outlineLevel="0" collapsed="false">
      <c r="A25" s="16" t="s">
        <v>873</v>
      </c>
      <c r="B25" s="17" t="s">
        <v>141</v>
      </c>
      <c r="C25" s="18" t="n">
        <v>3</v>
      </c>
      <c r="D25" s="19"/>
      <c r="E25" s="19"/>
      <c r="F25" s="19"/>
      <c r="G25" s="19"/>
      <c r="H25" s="18" t="str">
        <f aca="false">IF(COUNT(C25:G25)=5,SUM(C25:G25),"")</f>
        <v/>
      </c>
      <c r="I25" s="20"/>
      <c r="J25" s="20"/>
      <c r="K25" s="20"/>
      <c r="L25" s="20"/>
      <c r="M25" s="20"/>
      <c r="N25" s="18" t="str">
        <f aca="false">IF(COUNT(C25:G25)=5,"Completa","Falta")</f>
        <v>Falta</v>
      </c>
    </row>
    <row r="26" customFormat="false" ht="30" hidden="false" customHeight="true" outlineLevel="0" collapsed="false">
      <c r="A26" s="16" t="s">
        <v>874</v>
      </c>
      <c r="B26" s="17" t="s">
        <v>161</v>
      </c>
      <c r="C26" s="19"/>
      <c r="D26" s="19"/>
      <c r="E26" s="19"/>
      <c r="F26" s="19"/>
      <c r="G26" s="19"/>
      <c r="H26" s="18" t="str">
        <f aca="false">IF(COUNT(C26:G26)=5,SUM(C26:G26),"")</f>
        <v/>
      </c>
      <c r="I26" s="20"/>
      <c r="J26" s="20"/>
      <c r="K26" s="20"/>
      <c r="L26" s="20"/>
      <c r="M26" s="20"/>
      <c r="N26" s="18" t="str">
        <f aca="false">IF(COUNT(C26:G26)=5,"Completa","Falta")</f>
        <v>Falta</v>
      </c>
    </row>
    <row r="27" customFormat="false" ht="30" hidden="false" customHeight="true" outlineLevel="0" collapsed="false">
      <c r="A27" s="16" t="s">
        <v>875</v>
      </c>
      <c r="B27" s="17" t="s">
        <v>141</v>
      </c>
      <c r="C27" s="18" t="n">
        <v>3</v>
      </c>
      <c r="D27" s="19"/>
      <c r="E27" s="19"/>
      <c r="F27" s="19"/>
      <c r="G27" s="19"/>
      <c r="H27" s="18" t="str">
        <f aca="false">IF(COUNT(C27:G27)=5,SUM(C27:G27),"")</f>
        <v/>
      </c>
      <c r="I27" s="20"/>
      <c r="J27" s="20"/>
      <c r="K27" s="20"/>
      <c r="L27" s="20"/>
      <c r="M27" s="20"/>
      <c r="N27" s="18" t="str">
        <f aca="false">IF(COUNT(C27:G27)=5,"Completa","Falta")</f>
        <v>Falta</v>
      </c>
    </row>
    <row r="28" customFormat="false" ht="30" hidden="false" customHeight="true" outlineLevel="0" collapsed="false">
      <c r="A28" s="16" t="s">
        <v>876</v>
      </c>
      <c r="B28" s="17" t="s">
        <v>141</v>
      </c>
      <c r="C28" s="18" t="n">
        <v>3</v>
      </c>
      <c r="D28" s="19"/>
      <c r="E28" s="19"/>
      <c r="F28" s="19"/>
      <c r="G28" s="19"/>
      <c r="H28" s="18" t="str">
        <f aca="false">IF(COUNT(C28:G28)=5,SUM(C28:G28),"")</f>
        <v/>
      </c>
      <c r="I28" s="20"/>
      <c r="J28" s="20"/>
      <c r="K28" s="20"/>
      <c r="L28" s="20"/>
      <c r="M28" s="20"/>
      <c r="N28" s="18" t="str">
        <f aca="false">IF(COUNT(C28:G28)=5,"Completa","Falta")</f>
        <v>Falta</v>
      </c>
    </row>
    <row r="29" customFormat="false" ht="30" hidden="false" customHeight="true" outlineLevel="0" collapsed="false">
      <c r="A29" s="16" t="s">
        <v>877</v>
      </c>
      <c r="B29" s="17" t="s">
        <v>141</v>
      </c>
      <c r="C29" s="18" t="n">
        <v>3</v>
      </c>
      <c r="D29" s="19"/>
      <c r="E29" s="19"/>
      <c r="F29" s="19"/>
      <c r="G29" s="19"/>
      <c r="H29" s="18" t="str">
        <f aca="false">IF(COUNT(C29:G29)=5,SUM(C29:G29),"")</f>
        <v/>
      </c>
      <c r="I29" s="20"/>
      <c r="J29" s="20"/>
      <c r="K29" s="20"/>
      <c r="L29" s="20"/>
      <c r="M29" s="20"/>
      <c r="N29" s="18" t="str">
        <f aca="false">IF(COUNT(C29:G29)=5,"Completa","Falta")</f>
        <v>Falta</v>
      </c>
    </row>
  </sheetData>
  <dataValidations count="3">
    <dataValidation allowBlank="true" error="Aquí solo 0, 1 o 2: el 3 se reserva a las respuestas que pasan todos los pasos." errorStyle="stop" errorTitle="Valor no válido" operator="between" showDropDown="false" showErrorMessage="true" showInputMessage="false" sqref="C14 C16 C18 C26" type="list">
      <formula1>"0,1,2"</formula1>
      <formula2>0</formula2>
    </dataValidation>
    <dataValidation allowBlank="true" error="Aquí solo 1, 2 o 3: el 0 se reserva a las respuestas que no compilan." errorStyle="stop" errorTitle="Valor no válido" operator="between" showDropDown="false" showErrorMessage="true" showInputMessage="false" sqref="D6:D29" type="list">
      <formula1>"1,2,3"</formula1>
      <formula2>0</formula2>
    </dataValidation>
    <dataValidation allowBlank="true" error="Escribe 0, 1, 2 o 3." errorStyle="stop" errorTitle="Valor no válido" operator="between" showDropDown="false" showErrorMessage="true" showInputMessage="false" sqref="E6:G29" type="list">
      <formula1>"0,1,2,3"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2026-10-07T06:37:28Z</dcterms:created>
  <dc:creator>openpyxl</dc:creator>
  <dc:description/>
  <dc:language>en-US</dc:language>
  <cp:lastModifiedBy/>
  <dcterms:modified xsi:type="dcterms:W3CDTF">2026-10-07T06:37:28Z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