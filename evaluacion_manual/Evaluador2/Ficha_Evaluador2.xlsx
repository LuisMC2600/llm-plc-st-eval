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 C\Downloads\1 Trabajo de Grado\llm-plc-st-eval\evaluacion_manual\Evaluador2\"/>
    </mc:Choice>
  </mc:AlternateContent>
  <xr:revisionPtr revIDLastSave="0" documentId="13_ncr:1_{361F3B3C-9B10-401C-9704-016EBDF857A9}" xr6:coauthVersionLast="47" xr6:coauthVersionMax="47" xr10:uidLastSave="{00000000-0000-0000-0000-000000000000}"/>
  <bookViews>
    <workbookView xWindow="-110" yWindow="-110" windowWidth="19420" windowHeight="10300" tabRatio="500" activeTab="5" xr2:uid="{00000000-000D-0000-FFFF-FFFF00000000}"/>
  </bookViews>
  <sheets>
    <sheet name="Instrucciones" sheetId="1" r:id="rId1"/>
    <sheet name="Clave" sheetId="2" r:id="rId2"/>
    <sheet name="C1" sheetId="3" r:id="rId3"/>
    <sheet name="C5" sheetId="4" r:id="rId4"/>
    <sheet name="C6" sheetId="5" r:id="rId5"/>
    <sheet name="C2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1" i="6" l="1"/>
  <c r="T11" i="6"/>
  <c r="S11" i="6"/>
  <c r="U10" i="6"/>
  <c r="T10" i="6"/>
  <c r="S10" i="6"/>
  <c r="U9" i="6"/>
  <c r="T9" i="6"/>
  <c r="S9" i="6"/>
  <c r="U8" i="6"/>
  <c r="T8" i="6"/>
  <c r="S8" i="6"/>
  <c r="U7" i="6"/>
  <c r="T7" i="6"/>
  <c r="S7" i="6"/>
  <c r="U6" i="6"/>
  <c r="C29" i="1" s="1"/>
  <c r="D29" i="1" s="1"/>
  <c r="T6" i="6"/>
  <c r="S6" i="6"/>
  <c r="U5" i="6"/>
  <c r="T5" i="6"/>
  <c r="S5" i="6"/>
  <c r="O11" i="5"/>
  <c r="N11" i="5"/>
  <c r="M11" i="5"/>
  <c r="O10" i="5"/>
  <c r="N10" i="5"/>
  <c r="M10" i="5"/>
  <c r="O9" i="5"/>
  <c r="N9" i="5"/>
  <c r="M9" i="5"/>
  <c r="O8" i="5"/>
  <c r="N8" i="5"/>
  <c r="M8" i="5"/>
  <c r="O7" i="5"/>
  <c r="N7" i="5"/>
  <c r="M7" i="5"/>
  <c r="O6" i="5"/>
  <c r="N6" i="5"/>
  <c r="M6" i="5"/>
  <c r="O5" i="5"/>
  <c r="N5" i="5"/>
  <c r="M5" i="5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C26" i="1" s="1"/>
  <c r="N6" i="3"/>
  <c r="M6" i="3"/>
  <c r="O5" i="3"/>
  <c r="N5" i="3"/>
  <c r="M5" i="3"/>
  <c r="B30" i="1"/>
  <c r="C28" i="1"/>
  <c r="D28" i="1" s="1"/>
  <c r="C27" i="1"/>
  <c r="D27" i="1" s="1"/>
  <c r="D26" i="1" l="1"/>
  <c r="D30" i="1" s="1"/>
  <c r="C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200-000001000000}">
      <text>
        <r>
          <rPr>
            <sz val="10"/>
            <rFont val="Arial"/>
            <family val="2"/>
          </rPr>
          <t>E1 — Condición invertida: IF NOT habilitado ejecuta la secuencia cuando debería ser IF habilitado.</t>
        </r>
      </text>
    </comment>
    <comment ref="C4" authorId="0" shapeId="0" xr:uid="{00000000-0006-0000-0200-000002000000}">
      <text>
        <r>
          <rPr>
            <sz val="10"/>
            <rFont val="Arial"/>
            <family val="2"/>
          </rPr>
          <t>Marca S si la corrección propuesta para E1 resolvería el defecto. Déjala en blanco si no lo detectó.</t>
        </r>
      </text>
    </comment>
    <comment ref="D4" authorId="0" shapeId="0" xr:uid="{00000000-0006-0000-0200-000003000000}">
      <text>
        <r>
          <rPr>
            <sz val="10"/>
            <rFont val="Arial"/>
            <family val="2"/>
          </rPr>
          <t>E2 — El TON t1 se llama con IN:=TRUE permanente y nunca se reinicia entre estados, por lo que las transiciones tras la primera son inmediatas.</t>
        </r>
      </text>
    </comment>
    <comment ref="E4" authorId="0" shapeId="0" xr:uid="{00000000-0006-0000-0200-000004000000}">
      <text>
        <r>
          <rPr>
            <sz val="10"/>
            <rFont val="Arial"/>
            <family val="2"/>
          </rPr>
          <t>Marca S si la corrección propuesta para E2 resolvería el defecto. Déjala en blanco si no lo detectó.</t>
        </r>
      </text>
    </comment>
    <comment ref="F4" authorId="0" shapeId="0" xr:uid="{00000000-0006-0000-0200-000005000000}">
      <text>
        <r>
          <rPr>
            <sz val="10"/>
            <rFont val="Arial"/>
            <family val="2"/>
          </rPr>
          <t>E3 — El estado 3 (amarillo intermitente) es inalcanzable: ninguna transición asigna estado:=3.</t>
        </r>
      </text>
    </comment>
    <comment ref="G4" authorId="0" shapeId="0" xr:uid="{00000000-0006-0000-0200-000006000000}">
      <text>
        <r>
          <rPr>
            <sz val="10"/>
            <rFont val="Arial"/>
            <family val="2"/>
          </rPr>
          <t>Marca S si la corrección propuesta para E3 resolvería el defecto. Déjala en blanco si no lo detectó.</t>
        </r>
      </text>
    </comment>
    <comment ref="H4" authorId="0" shapeId="0" xr:uid="{00000000-0006-0000-0200-000007000000}">
      <text>
        <r>
          <rPr>
            <sz val="10"/>
            <rFont val="Arial"/>
            <family val="2"/>
          </rPr>
          <t>E4 — parp nunca se inicializa ni se conmuta, así que el intermitente jamás parpadearía.</t>
        </r>
      </text>
    </comment>
    <comment ref="I4" authorId="0" shapeId="0" xr:uid="{00000000-0006-0000-0200-000008000000}">
      <text>
        <r>
          <rPr>
            <sz val="10"/>
            <rFont val="Arial"/>
            <family val="2"/>
          </rPr>
          <t>Marca S si la corrección propuesta para E4 resolvería el defecto. Déjala en blanco si no lo detectó.</t>
        </r>
      </text>
    </comment>
    <comment ref="J4" authorId="0" shapeId="0" xr:uid="{00000000-0006-0000-0200-000009000000}">
      <text>
        <r>
          <rPr>
            <sz val="10"/>
            <rFont val="Arial"/>
            <family val="2"/>
          </rPr>
          <t>Defectos reales del código que la respuesta señala y que no están en la clave. Hallazgo adicional aceptado por la clave: luzV/luzR no se apagan en el estado 3. Cuenta como hallazgo adicional válido, no como error inventado.</t>
        </r>
      </text>
    </comment>
    <comment ref="K4" authorId="0" shapeId="0" xr:uid="{00000000-0006-0000-0200-00000A000000}">
      <text>
        <r>
          <rPr>
            <sz val="10"/>
            <rFont val="Arial"/>
            <family val="2"/>
          </rPr>
          <t>Cosas que la respuesta señala como error y no lo son (el código es correcto en ese punto, o contradice la especificación).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300-000001000000}">
      <text>
        <r>
          <rPr>
            <sz val="10"/>
            <rFont val="Arial"/>
            <family val="2"/>
          </rPr>
          <t>E1 — Violación de interlock: en el estado 1 se activa kD y kY solo se apaga al entrar al estado 2, por lo que ambos contactores quedan activos simultáneamente durante al menos un ciclo de scan.</t>
        </r>
      </text>
    </comment>
    <comment ref="C4" authorId="0" shapeId="0" xr:uid="{00000000-0006-0000-0300-000002000000}">
      <text>
        <r>
          <rPr>
            <sz val="10"/>
            <rFont val="Arial"/>
            <family val="2"/>
          </rPr>
          <t>Marca S si la corrección propuesta para E1 resolvería el defecto. Déjala en blanco si no lo detectó.</t>
        </r>
      </text>
    </comment>
    <comment ref="D4" authorId="0" shapeId="0" xr:uid="{00000000-0006-0000-0300-000003000000}">
      <text>
        <r>
          <rPr>
            <sz val="10"/>
            <rFont val="Arial"/>
            <family val="2"/>
          </rPr>
          <t>E2 — Tiempo muerto ausente: el temporizador t2 se declara pero nunca se usa; la conmutación estrella-triángulo ocurre sin los 100 ms exigidos.</t>
        </r>
      </text>
    </comment>
    <comment ref="E4" authorId="0" shapeId="0" xr:uid="{00000000-0006-0000-0300-000004000000}">
      <text>
        <r>
          <rPr>
            <sz val="10"/>
            <rFont val="Arial"/>
            <family val="2"/>
          </rPr>
          <t>Marca S si la corrección propuesta para E2 resolvería el defecto. Déjala en blanco si no lo detectó.</t>
        </r>
      </text>
    </comment>
    <comment ref="F4" authorId="0" shapeId="0" xr:uid="{00000000-0006-0000-0300-000005000000}">
      <text>
        <r>
          <rPr>
            <sz val="10"/>
            <rFont val="Arial"/>
            <family val="2"/>
          </rPr>
          <t>E3 — El temporizador t1 se llama con IN := TRUE permanente y no se reinicia en el paro, de modo que tras un paro y un rearranque la transición a triángulo es inmediata.</t>
        </r>
      </text>
    </comment>
    <comment ref="G4" authorId="0" shapeId="0" xr:uid="{00000000-0006-0000-0300-000006000000}">
      <text>
        <r>
          <rPr>
            <sz val="10"/>
            <rFont val="Arial"/>
            <family val="2"/>
          </rPr>
          <t>Marca S si la corrección propuesta para E3 resolvería el defecto. Déjala en blanco si no lo detectó.</t>
        </r>
      </text>
    </comment>
    <comment ref="H4" authorId="0" shapeId="0" xr:uid="{00000000-0006-0000-0300-000007000000}">
      <text>
        <r>
          <rPr>
            <sz val="10"/>
            <rFont val="Arial"/>
            <family val="2"/>
          </rPr>
          <t>E4 — btnParo no desactiva kM, así que el motor queda alimentado por el contactor principal después del paro.</t>
        </r>
      </text>
    </comment>
    <comment ref="I4" authorId="0" shapeId="0" xr:uid="{00000000-0006-0000-0300-000008000000}">
      <text>
        <r>
          <rPr>
            <sz val="10"/>
            <rFont val="Arial"/>
            <family val="2"/>
          </rPr>
          <t>Marca S si la corrección propuesta para E4 resolvería el defecto. Déjala en blanco si no lo detectó.</t>
        </r>
      </text>
    </comment>
    <comment ref="J4" authorId="0" shapeId="0" xr:uid="{00000000-0006-0000-0300-000009000000}">
      <text>
        <r>
          <rPr>
            <sz val="10"/>
            <rFont val="Arial"/>
            <family val="2"/>
          </rPr>
          <t xml:space="preserve">Defectos reales del código que la respuesta señala y que no están en la clave. </t>
        </r>
      </text>
    </comment>
    <comment ref="K4" authorId="0" shapeId="0" xr:uid="{00000000-0006-0000-0300-00000A000000}">
      <text>
        <r>
          <rPr>
            <sz val="10"/>
            <rFont val="Arial"/>
            <family val="2"/>
          </rPr>
          <t>Cosas que la respuesta señala como error y no lo son (el código es correcto en ese punto, o contradice la especificación).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400-000001000000}">
      <text>
        <r>
          <rPr>
            <sz val="10"/>
            <rFont val="Arial"/>
            <family val="2"/>
          </rPr>
          <t>E1 — División entera: rawTemp / 27648 se evalúa en aritmética INT y vale 0 para todo rawTemp entre 0 y 27647 (solo en 27648 da 1, es decir 100.0), de modo que tempC queda prácticamente siempre en 0.0; la conversión a REAL se aplica después del daño.</t>
        </r>
      </text>
    </comment>
    <comment ref="C4" authorId="0" shapeId="0" xr:uid="{00000000-0006-0000-0400-000002000000}">
      <text>
        <r>
          <rPr>
            <sz val="10"/>
            <rFont val="Arial"/>
            <family val="2"/>
          </rPr>
          <t>Marca S si la corrección propuesta para E1 resolvería el defecto. Déjala en blanco si no lo detectó.</t>
        </r>
      </text>
    </comment>
    <comment ref="D4" authorId="0" shapeId="0" xr:uid="{00000000-0006-0000-0400-000003000000}">
      <text>
        <r>
          <rPr>
            <sz val="10"/>
            <rFont val="Arial"/>
            <family val="2"/>
          </rPr>
          <t>E2 — La histéresis no existe: la lógica conmuta en un único umbral de 75.0 en lugar de activar en 80.0 y desactivar en 75.0, y la rama ELSIF es inalcanzable para valores por encima de 75.0.</t>
        </r>
      </text>
    </comment>
    <comment ref="E4" authorId="0" shapeId="0" xr:uid="{00000000-0006-0000-0400-000004000000}">
      <text>
        <r>
          <rPr>
            <sz val="10"/>
            <rFont val="Arial"/>
            <family val="2"/>
          </rPr>
          <t>Marca S si la corrección propuesta para E2 resolvería el defecto. Déjala en blanco si no lo detectó.</t>
        </r>
      </text>
    </comment>
    <comment ref="F4" authorId="0" shapeId="0" xr:uid="{00000000-0006-0000-0400-000005000000}">
      <text>
        <r>
          <rPr>
            <sz val="10"/>
            <rFont val="Arial"/>
            <family val="2"/>
          </rPr>
          <t>E3 — La detección de fuera de rango omite la condición rawTemp &lt; 0, así que un valor negativo no genera alarma.</t>
        </r>
      </text>
    </comment>
    <comment ref="G4" authorId="0" shapeId="0" xr:uid="{00000000-0006-0000-0400-000006000000}">
      <text>
        <r>
          <rPr>
            <sz val="10"/>
            <rFont val="Arial"/>
            <family val="2"/>
          </rPr>
          <t>Marca S si la corrección propuesta para E3 resolvería el defecto. Déjala en blanco si no lo detectó.</t>
        </r>
      </text>
    </comment>
    <comment ref="H4" authorId="0" shapeId="0" xr:uid="{00000000-0006-0000-0400-000007000000}">
      <text>
        <r>
          <rPr>
            <sz val="10"/>
            <rFont val="Arial"/>
            <family val="2"/>
          </rPr>
          <t>E4 — almSensor nunca vuelve a FALSE al regresar la señal al rango y la alarma no fuerza enfriador := FALSE como exige la especificación.</t>
        </r>
      </text>
    </comment>
    <comment ref="I4" authorId="0" shapeId="0" xr:uid="{00000000-0006-0000-0400-000008000000}">
      <text>
        <r>
          <rPr>
            <sz val="10"/>
            <rFont val="Arial"/>
            <family val="2"/>
          </rPr>
          <t>Marca S si la corrección propuesta para E4 resolvería el defecto. Déjala en blanco si no lo detectó.</t>
        </r>
      </text>
    </comment>
    <comment ref="J4" authorId="0" shapeId="0" xr:uid="{00000000-0006-0000-0400-000009000000}">
      <text>
        <r>
          <rPr>
            <sz val="10"/>
            <rFont val="Arial"/>
            <family val="2"/>
          </rPr>
          <t xml:space="preserve">Defectos reales del código que la respuesta señala y que no están en la clave. </t>
        </r>
      </text>
    </comment>
    <comment ref="K4" authorId="0" shapeId="0" xr:uid="{00000000-0006-0000-0400-00000A000000}">
      <text>
        <r>
          <rPr>
            <sz val="10"/>
            <rFont val="Arial"/>
            <family val="2"/>
          </rPr>
          <t>Cosas que la respuesta señala como error y no lo son (el código es correcto en ese punto, o contradice la especificación).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500-000001000000}">
      <text>
        <r>
          <rPr>
            <sz val="10"/>
            <rFont val="Arial"/>
            <family val="2"/>
          </rPr>
          <t>Entrada que indica el nivel del tanque superior (vacío / lleno). Marca S si la tabla de E/S la incluye, con cualquier nombre.</t>
        </r>
      </text>
    </comment>
    <comment ref="C4" authorId="0" shapeId="0" xr:uid="{00000000-0006-0000-0500-000002000000}">
      <text>
        <r>
          <rPr>
            <sz val="10"/>
            <rFont val="Arial"/>
            <family val="2"/>
          </rPr>
          <t>Entrada que indica si el pozo tiene agua (protección de marcha en seco). Marca S si la tabla de E/S la incluye, con cualquier nombre.</t>
        </r>
      </text>
    </comment>
    <comment ref="D4" authorId="0" shapeId="0" xr:uid="{00000000-0006-0000-0500-000003000000}">
      <text>
        <r>
          <rPr>
            <sz val="10"/>
            <rFont val="Arial"/>
            <family val="2"/>
          </rPr>
          <t>Entrada del botón para apagar la bomba. Marca S si la tabla de E/S la incluye, con cualquier nombre.</t>
        </r>
      </text>
    </comment>
    <comment ref="E4" authorId="0" shapeId="0" xr:uid="{00000000-0006-0000-0500-000004000000}">
      <text>
        <r>
          <rPr>
            <sz val="10"/>
            <rFont val="Arial"/>
            <family val="2"/>
          </rPr>
          <t>Salida de mando de la bomba. Marca S si la tabla de E/S la incluye, con cualquier nombre.</t>
        </r>
      </text>
    </comment>
    <comment ref="F4" authorId="0" shapeId="0" xr:uid="{00000000-0006-0000-0500-000005000000}">
      <text>
        <r>
          <rPr>
            <sz val="10"/>
            <rFont val="Arial"/>
            <family val="2"/>
          </rPr>
          <t>Salida de la luz que avisa cuando algo anda mal. Marca S si la tabla de E/S la incluye, con cualquier nombre.</t>
        </r>
      </text>
    </comment>
    <comment ref="G4" authorId="0" shapeId="0" xr:uid="{00000000-0006-0000-0500-000006000000}">
      <text>
        <r>
          <rPr>
            <sz val="10"/>
            <rFont val="Arial"/>
            <family val="2"/>
          </rPr>
          <t>S si todos los tipos de dato de la tabla son tipos IEC 61131-3 válidos y coherentes con la señal.</t>
        </r>
      </text>
    </comment>
    <comment ref="H4" authorId="0" shapeId="0" xr:uid="{00000000-0006-0000-0500-000007000000}">
      <text>
        <r>
          <rPr>
            <sz val="10"/>
            <rFont val="Arial"/>
            <family val="2"/>
          </rPr>
          <t>El tipo de POU que la respuesta recomienda.</t>
        </r>
      </text>
    </comment>
    <comment ref="I4" authorId="0" shapeId="0" xr:uid="{00000000-0006-0000-0500-000008000000}">
      <text>
        <r>
          <rPr>
            <sz val="10"/>
            <rFont val="Arial"/>
            <family val="2"/>
          </rPr>
          <t>S si la justificación del tipo de POU es técnicamente coherente.</t>
        </r>
      </text>
    </comment>
    <comment ref="J4" authorId="0" shapeId="0" xr:uid="{00000000-0006-0000-0500-000009000000}">
      <text>
        <r>
          <rPr>
            <sz val="10"/>
            <rFont val="Arial"/>
            <family val="2"/>
          </rPr>
          <t>A1 — Niveles como señales digitales (flotadores) o analógicas. Marca S si la respuesta plantea esta ambigüedad, con cualquier redacción.</t>
        </r>
      </text>
    </comment>
    <comment ref="K4" authorId="0" shapeId="0" xr:uid="{00000000-0006-0000-0500-00000A000000}">
      <text>
        <r>
          <rPr>
            <sz val="10"/>
            <rFont val="Arial"/>
            <family val="2"/>
          </rPr>
          <t>A2 — Qué significa exactamente 'tanque vacío' (histéresis entre niveles de arranque y paro). Marca S si la respuesta plantea esta ambigüedad, con cualquier redacción.</t>
        </r>
      </text>
    </comment>
    <comment ref="L4" authorId="0" shapeId="0" xr:uid="{00000000-0006-0000-0500-00000B000000}">
      <text>
        <r>
          <rPr>
            <sz val="10"/>
            <rFont val="Arial"/>
            <family val="2"/>
          </rPr>
          <t>A3 — Tiempo de protección por marcha en seco y si el rearme es manual o automático. Marca S si la respuesta plantea esta ambigüedad, con cualquier redacción.</t>
        </r>
      </text>
    </comment>
    <comment ref="M4" authorId="0" shapeId="0" xr:uid="{00000000-0006-0000-0500-00000C000000}">
      <text>
        <r>
          <rPr>
            <sz val="10"/>
            <rFont val="Arial"/>
            <family val="2"/>
          </rPr>
          <t>A4 — El 'botón para apagarla': ¿paro momentáneo o inhibición retenida? Marca S si la respuesta plantea esta ambigüedad, con cualquier redacción.</t>
        </r>
      </text>
    </comment>
    <comment ref="N4" authorId="0" shapeId="0" xr:uid="{00000000-0006-0000-0500-00000D000000}">
      <text>
        <r>
          <rPr>
            <sz val="10"/>
            <rFont val="Arial"/>
            <family val="2"/>
          </rPr>
          <t>A5 — Qué condiciones agrupa la luz de falla. Marca S si la respuesta plantea esta ambigüedad, con cualquier redacción.</t>
        </r>
      </text>
    </comment>
    <comment ref="O4" authorId="0" shapeId="0" xr:uid="{00000000-0006-0000-0500-00000E000000}">
      <text>
        <r>
          <rPr>
            <sz val="10"/>
            <rFont val="Arial"/>
            <family val="2"/>
          </rPr>
          <t>A6 — Comportamiento al recuperarse el agua del pozo. Marca S si la respuesta plantea esta ambigüedad, con cualquier redacción.</t>
        </r>
      </text>
    </comment>
    <comment ref="P4" authorId="0" shapeId="0" xr:uid="{00000000-0006-0000-0500-00000F000000}">
      <text>
        <r>
          <rPr>
            <sz val="10"/>
            <rFont val="Arial"/>
            <family val="2"/>
          </rPr>
          <t>Otras preguntas pertinentes al cliente que no están en la clave.</t>
        </r>
      </text>
    </comment>
    <comment ref="Q4" authorId="0" shapeId="0" xr:uid="{00000000-0006-0000-0500-000010000000}">
      <text>
        <r>
          <rPr>
            <sz val="10"/>
            <rFont val="Arial"/>
            <family val="2"/>
          </rPr>
          <t>El enunciado pide no escribir código. Marca S si la respuesta incluye código ST.</t>
        </r>
      </text>
    </comment>
  </commentList>
</comments>
</file>

<file path=xl/sharedStrings.xml><?xml version="1.0" encoding="utf-8"?>
<sst xmlns="http://schemas.openxmlformats.org/spreadsheetml/2006/main" count="250" uniqueCount="151">
  <si>
    <t>Evaluación manual a ciegas — Evaluador 2</t>
  </si>
  <si>
    <t>Tesis: LLM como asistentes de programación PLC en la academia (UTP). Tareas complementarias C1, C5, C6 (diagnóstico de código) y C2 (de requisito ambiguo a especificación).</t>
  </si>
  <si>
    <t>Qué hay que hacer</t>
  </si>
  <si>
    <t>1. Abre el archivo Respuestas_Evaluador2.html. Contiene el enunciado de cada tarea, su clave de evaluación y las 24 respuestas, identificadas solo por un código.</t>
  </si>
  <si>
    <t>2. En este libro hay una hoja por tarea (C1, C5, C6, C2). Rellena ÚNICAMENTE las celdas amarillas. Las celdas azules se calculan solas.</t>
  </si>
  <si>
    <t>3. Califica una tarea completa antes de pasar a la siguiente, en el orden en que aparecen los códigos.</t>
  </si>
  <si>
    <t>4. Cada pregunta se responde con S (sí) o N (no). Las columnas de conteo llevan un número entero (0 si no hay ninguno).</t>
  </si>
  <si>
    <t>5. La fila gris EJEMPLO solo muestra el formato. No se analiza y no hace falta borrarla.</t>
  </si>
  <si>
    <t>6. Al terminar, la tabla de avance de abajo debe mostrar todas las tareas completas. Guarda el archivo con el mismo nombre.</t>
  </si>
  <si>
    <t>Reglas de calificación</t>
  </si>
  <si>
    <t>Detectado (S): la respuesta identifica el mismo defecto de la clave, con cualquier redacción y aunque lo ubique en otra línea. No cuenta una mención vaga que no señale el defecto concreto.</t>
  </si>
  <si>
    <t>Ítems de la clave con dos partes (por ejemplo C6-E4): se marca S si la respuesta identifica al menos una de las partes; anota en Observaciones cuál faltó.</t>
  </si>
  <si>
    <t>Corrección válida (S): la corrección propuesta resolvería el defecto. Si el defecto no fue detectado, deja la celda en blanco.</t>
  </si>
  <si>
    <t>Hallazgo adicional válido: un defecto real del código que no está en la clave. Error inventado: algo que la respuesta presenta como error y no lo es. Si un mismo punto se repite, cuéntalo una sola vez.</t>
  </si>
  <si>
    <t>Califica lo que la respuesta dice, no lo que probablemente quiso decir. Si una respuesta está cortada, califica lo que alcanzó a entregar.</t>
  </si>
  <si>
    <t>Las pautas de cada columna están en el comentario del encabezado (pasa el cursor sobre la celda azul oscuro).</t>
  </si>
  <si>
    <t>Evaluación a ciegas</t>
  </si>
  <si>
    <t>Los códigos no indican qué modelo ni qué estrategia produjo cada respuesta, y el orden está barajado. No consultes el archivo _SELLADO_asignacion_codigos.csv ni la carpeta de datos hasta haber terminado y entregado la ficha.</t>
  </si>
  <si>
    <t>Los evaluadores califican por separado y no comentan casos concretos entre sí hasta que ambos hayan terminado.</t>
  </si>
  <si>
    <t>Avance</t>
  </si>
  <si>
    <t>Tarea</t>
  </si>
  <si>
    <t>Respuestas</t>
  </si>
  <si>
    <t>Completas</t>
  </si>
  <si>
    <t>Pendientes</t>
  </si>
  <si>
    <t>C1</t>
  </si>
  <si>
    <t>C5</t>
  </si>
  <si>
    <t>C6</t>
  </si>
  <si>
    <t>C2</t>
  </si>
  <si>
    <t>Total</t>
  </si>
  <si>
    <t>Nombre del evaluador:</t>
  </si>
  <si>
    <t>Fecha de calificación:</t>
  </si>
  <si>
    <t>Clave de evaluación (la misma que acompaña a cada tarea en el archivo HTML)</t>
  </si>
  <si>
    <t>Fuente: clave de evaluación definida con el banco de tareas (src/generar_prompts.py), que nunca se envió a los modelos. Los ítems de E/S y de POU de C2 se derivan del propio requisito del cliente.</t>
  </si>
  <si>
    <t>Ítem</t>
  </si>
  <si>
    <t>Descripción</t>
  </si>
  <si>
    <t>E1</t>
  </si>
  <si>
    <t>Condición invertida: IF NOT habilitado ejecuta la secuencia cuando debería ser IF habilitado.</t>
  </si>
  <si>
    <t>E2</t>
  </si>
  <si>
    <t>El TON t1 se llama con IN:=TRUE permanente y nunca se reinicia entre estados, por lo que las transiciones tras la primera son inmediatas.</t>
  </si>
  <si>
    <t>E3</t>
  </si>
  <si>
    <t>El estado 3 (amarillo intermitente) es inalcanzable: ninguna transición asigna estado:=3.</t>
  </si>
  <si>
    <t>E4</t>
  </si>
  <si>
    <t>parp nunca se inicializa ni se conmuta, así que el intermitente jamás parpadearía.</t>
  </si>
  <si>
    <t>Extra</t>
  </si>
  <si>
    <t>Hallazgo adicional aceptado por la clave: luzV/luzR no se apagan en el estado 3. Cuenta como hallazgo adicional válido, no como error inventado.</t>
  </si>
  <si>
    <t>Violación de interlock: en el estado 1 se activa kD y kY solo se apaga al entrar al estado 2, por lo que ambos contactores quedan activos simultáneamente durante al menos un ciclo de scan.</t>
  </si>
  <si>
    <t>Tiempo muerto ausente: el temporizador t2 se declara pero nunca se usa; la conmutación estrella-triángulo ocurre sin los 100 ms exigidos.</t>
  </si>
  <si>
    <t>El temporizador t1 se llama con IN := TRUE permanente y no se reinicia en el paro, de modo que tras un paro y un rearranque la transición a triángulo es inmediata.</t>
  </si>
  <si>
    <t>btnParo no desactiva kM, así que el motor queda alimentado por el contactor principal después del paro.</t>
  </si>
  <si>
    <t>División entera: rawTemp / 27648 se evalúa en aritmética INT y vale 0 para todo rawTemp entre 0 y 27647 (solo en 27648 da 1, es decir 100.0), de modo que tempC queda prácticamente siempre en 0.0; la conversión a REAL se aplica después del daño.</t>
  </si>
  <si>
    <t>La histéresis no existe: la lógica conmuta en un único umbral de 75.0 en lugar de activar en 80.0 y desactivar en 75.0, y la rama ELSIF es inalcanzable para valores por encima de 75.0.</t>
  </si>
  <si>
    <t>La detección de fuera de rango omite la condición rawTemp &lt; 0, así que un valor negativo no genera alarma.</t>
  </si>
  <si>
    <t>almSensor nunca vuelve a FALSE al regresar la señal al rango y la alarma no fuerza enfriador := FALSE como exige la especificación.</t>
  </si>
  <si>
    <t>E/S: Nivel del tanque</t>
  </si>
  <si>
    <t>Entrada que indica el nivel del tanque superior (vacío / lleno).</t>
  </si>
  <si>
    <t>E/S: Agua en el pozo</t>
  </si>
  <si>
    <t>Entrada que indica si el pozo tiene agua (protección de marcha en seco).</t>
  </si>
  <si>
    <t>E/S: Botón de paro</t>
  </si>
  <si>
    <t>Entrada del botón para apagar la bomba.</t>
  </si>
  <si>
    <t>E/S: Bomba</t>
  </si>
  <si>
    <t>Salida de mando de la bomba.</t>
  </si>
  <si>
    <t>E/S: Luz de aviso</t>
  </si>
  <si>
    <t>Salida de la luz que avisa cuando algo anda mal.</t>
  </si>
  <si>
    <t>A1</t>
  </si>
  <si>
    <t>Niveles como señales digitales (flotadores) o analógicas.</t>
  </si>
  <si>
    <t>A2</t>
  </si>
  <si>
    <t>Qué significa exactamente 'tanque vacío' (histéresis entre niveles de arranque y paro).</t>
  </si>
  <si>
    <t>A3</t>
  </si>
  <si>
    <t>Tiempo de protección por marcha en seco y si el rearme es manual o automático.</t>
  </si>
  <si>
    <t>A4</t>
  </si>
  <si>
    <t>El 'botón para apagarla': ¿paro momentáneo o inhibición retenida?</t>
  </si>
  <si>
    <t>A5</t>
  </si>
  <si>
    <t>Qué condiciones agrupa la luz de falla.</t>
  </si>
  <si>
    <t>A6</t>
  </si>
  <si>
    <t>Comportamiento al recuperarse el agua del pozo.</t>
  </si>
  <si>
    <t>C1 — Diagnóstico de código con errores</t>
  </si>
  <si>
    <t>Rellena solo las celdas amarillas. S = sí, N = no. Lee cada respuesta por su código en el archivo HTML. La fila EJEMPLO muestra el formato y no se analiza.</t>
  </si>
  <si>
    <t>Código</t>
  </si>
  <si>
    <t>E1 detectado
Condición invertida</t>
  </si>
  <si>
    <t>E1 corrección válida</t>
  </si>
  <si>
    <t>E2 detectado
TON sin reinicio</t>
  </si>
  <si>
    <t>E2 corrección válida</t>
  </si>
  <si>
    <t>E3 detectado
Estado 3 inalcanzable</t>
  </si>
  <si>
    <t>E3 corrección válida</t>
  </si>
  <si>
    <t>E4 detectado
parp no conmuta</t>
  </si>
  <si>
    <t>E4 corrección válida</t>
  </si>
  <si>
    <t>Hallazgos adicionales válidos (n.º)</t>
  </si>
  <si>
    <t>Errores inventados (n.º)</t>
  </si>
  <si>
    <t>Observaciones</t>
  </si>
  <si>
    <t>Detectados (0–4)</t>
  </si>
  <si>
    <t>Correcciones válidas (0–4)</t>
  </si>
  <si>
    <t>Estado</t>
  </si>
  <si>
    <t>EJEMPLO</t>
  </si>
  <si>
    <t>S</t>
  </si>
  <si>
    <t>N</t>
  </si>
  <si>
    <t>E2: propone reiniciar el TON pero con IN siempre TRUE.</t>
  </si>
  <si>
    <t>C1-130</t>
  </si>
  <si>
    <t>C1-146</t>
  </si>
  <si>
    <t>C1-138</t>
  </si>
  <si>
    <t>C1-165</t>
  </si>
  <si>
    <t>C1-172</t>
  </si>
  <si>
    <t>C1-161</t>
  </si>
  <si>
    <t>C5 — Diagnóstico de arranque estrella-triángulo</t>
  </si>
  <si>
    <t>E1 detectado
Interlock kY/kD</t>
  </si>
  <si>
    <t>E2 detectado
Tiempo muerto ausente</t>
  </si>
  <si>
    <t>E3 detectado
t1 sin reinicio en paro</t>
  </si>
  <si>
    <t>E4 detectado
Paro no apaga kM</t>
  </si>
  <si>
    <t>C5-185</t>
  </si>
  <si>
    <t>C5-196</t>
  </si>
  <si>
    <t>C5-164</t>
  </si>
  <si>
    <t>C5-163</t>
  </si>
  <si>
    <t>C5-121</t>
  </si>
  <si>
    <t>C5-153</t>
  </si>
  <si>
    <t>C6 — Diagnóstico de escalado con histéresis</t>
  </si>
  <si>
    <t>E1 detectado
División entera</t>
  </si>
  <si>
    <t>E2 detectado
Histéresis inexistente</t>
  </si>
  <si>
    <t>E3 detectado
Falta rawTemp &lt; 0</t>
  </si>
  <si>
    <t>E4 detectado
Alarma no se repone ni apaga enfriador</t>
  </si>
  <si>
    <t>C6-155</t>
  </si>
  <si>
    <t>C6-143</t>
  </si>
  <si>
    <t>C6-142</t>
  </si>
  <si>
    <t>C6-139</t>
  </si>
  <si>
    <t>C6-193</t>
  </si>
  <si>
    <t>C6-112</t>
  </si>
  <si>
    <t>C2 — De requisito ambiguo a especificación</t>
  </si>
  <si>
    <t>E/S presente
Nivel del tanque</t>
  </si>
  <si>
    <t>E/S presente
Agua en el pozo</t>
  </si>
  <si>
    <t>E/S presente
Botón de paro</t>
  </si>
  <si>
    <t>E/S presente
Bomba</t>
  </si>
  <si>
    <t>E/S presente
Luz de aviso</t>
  </si>
  <si>
    <t>Tipos IEC válidos en toda la tabla</t>
  </si>
  <si>
    <t>POU recomendado</t>
  </si>
  <si>
    <t>Justificación coherente</t>
  </si>
  <si>
    <t>A1
Digital o analógica</t>
  </si>
  <si>
    <t>A2
Qué es 'tanque vacío'</t>
  </si>
  <si>
    <t>A3
Marcha en seco y rearme</t>
  </si>
  <si>
    <t>A4
Tipo de botón</t>
  </si>
  <si>
    <t>A5
Qué agrupa la luz</t>
  </si>
  <si>
    <t>A6
Retorno del agua</t>
  </si>
  <si>
    <t>Ambigüedades adicionales válidas (n.º)</t>
  </si>
  <si>
    <t>¿Incluyó código?</t>
  </si>
  <si>
    <t>E/S presentes (0–5)</t>
  </si>
  <si>
    <t>Ambigüedades de la clave (0–6)</t>
  </si>
  <si>
    <t>FUNCTION_BLOCK</t>
  </si>
  <si>
    <t>Pregunta además por la tensión de la bomba.</t>
  </si>
  <si>
    <t>C2-183</t>
  </si>
  <si>
    <t>C2-186</t>
  </si>
  <si>
    <t>C2-154</t>
  </si>
  <si>
    <t>C2-145</t>
  </si>
  <si>
    <t>C2-187</t>
  </si>
  <si>
    <t>C2-132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</si>
</sst>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0" xfId="0" applyFill="1"/>
    <xf numFmtId="0" fontId="6" fillId="0" borderId="0" xfId="0" applyFont="1"/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Normal="100" workbookViewId="0">
      <selection sqref="A1:D1"/>
    </sheetView>
  </sheetViews>
  <sheetFormatPr baseColWidth="10" defaultColWidth="8.6328125" defaultRowHeight="14.5" x14ac:dyDescent="0.35"/>
  <cols>
    <col min="1" max="1" width="46" customWidth="1"/>
    <col min="2" max="4" width="22" customWidth="1"/>
  </cols>
  <sheetData>
    <row r="1" spans="1:4" ht="17.399999999999999" customHeight="1" x14ac:dyDescent="0.35">
      <c r="A1" s="20" t="s">
        <v>0</v>
      </c>
      <c r="B1" s="20"/>
      <c r="C1" s="20"/>
      <c r="D1" s="20"/>
    </row>
    <row r="2" spans="1:4" ht="30" customHeight="1" x14ac:dyDescent="0.35">
      <c r="A2" s="18" t="s">
        <v>1</v>
      </c>
      <c r="B2" s="18"/>
      <c r="C2" s="18"/>
      <c r="D2" s="18"/>
    </row>
    <row r="3" spans="1:4" x14ac:dyDescent="0.35">
      <c r="A3" s="18"/>
      <c r="B3" s="18"/>
      <c r="C3" s="18"/>
      <c r="D3" s="18"/>
    </row>
    <row r="4" spans="1:4" ht="15" customHeight="1" x14ac:dyDescent="0.35">
      <c r="A4" s="19" t="s">
        <v>2</v>
      </c>
      <c r="B4" s="19"/>
      <c r="C4" s="19"/>
      <c r="D4" s="19"/>
    </row>
    <row r="5" spans="1:4" ht="30" customHeight="1" x14ac:dyDescent="0.35">
      <c r="A5" s="18" t="s">
        <v>3</v>
      </c>
      <c r="B5" s="18"/>
      <c r="C5" s="18"/>
      <c r="D5" s="18"/>
    </row>
    <row r="6" spans="1:4" ht="30" customHeight="1" x14ac:dyDescent="0.35">
      <c r="A6" s="18" t="s">
        <v>4</v>
      </c>
      <c r="B6" s="18"/>
      <c r="C6" s="18"/>
      <c r="D6" s="18"/>
    </row>
    <row r="7" spans="1:4" ht="15" customHeight="1" x14ac:dyDescent="0.35">
      <c r="A7" s="18" t="s">
        <v>5</v>
      </c>
      <c r="B7" s="18"/>
      <c r="C7" s="18"/>
      <c r="D7" s="18"/>
    </row>
    <row r="8" spans="1:4" ht="30" customHeight="1" x14ac:dyDescent="0.35">
      <c r="A8" s="18" t="s">
        <v>6</v>
      </c>
      <c r="B8" s="18"/>
      <c r="C8" s="18"/>
      <c r="D8" s="18"/>
    </row>
    <row r="9" spans="1:4" ht="15" customHeight="1" x14ac:dyDescent="0.35">
      <c r="A9" s="18" t="s">
        <v>7</v>
      </c>
      <c r="B9" s="18"/>
      <c r="C9" s="18"/>
      <c r="D9" s="18"/>
    </row>
    <row r="10" spans="1:4" ht="30" customHeight="1" x14ac:dyDescent="0.35">
      <c r="A10" s="18" t="s">
        <v>8</v>
      </c>
      <c r="B10" s="18"/>
      <c r="C10" s="18"/>
      <c r="D10" s="18"/>
    </row>
    <row r="11" spans="1:4" x14ac:dyDescent="0.35">
      <c r="A11" s="18"/>
      <c r="B11" s="18"/>
      <c r="C11" s="18"/>
      <c r="D11" s="18"/>
    </row>
    <row r="12" spans="1:4" ht="15" customHeight="1" x14ac:dyDescent="0.35">
      <c r="A12" s="19" t="s">
        <v>9</v>
      </c>
      <c r="B12" s="19"/>
      <c r="C12" s="19"/>
      <c r="D12" s="19"/>
    </row>
    <row r="13" spans="1:4" ht="30" customHeight="1" x14ac:dyDescent="0.35">
      <c r="A13" s="18" t="s">
        <v>10</v>
      </c>
      <c r="B13" s="18"/>
      <c r="C13" s="18"/>
      <c r="D13" s="18"/>
    </row>
    <row r="14" spans="1:4" ht="30" customHeight="1" x14ac:dyDescent="0.35">
      <c r="A14" s="18" t="s">
        <v>11</v>
      </c>
      <c r="B14" s="18"/>
      <c r="C14" s="18"/>
      <c r="D14" s="18"/>
    </row>
    <row r="15" spans="1:4" ht="30" customHeight="1" x14ac:dyDescent="0.35">
      <c r="A15" s="18" t="s">
        <v>12</v>
      </c>
      <c r="B15" s="18"/>
      <c r="C15" s="18"/>
      <c r="D15" s="18"/>
    </row>
    <row r="16" spans="1:4" ht="30" customHeight="1" x14ac:dyDescent="0.35">
      <c r="A16" s="18" t="s">
        <v>13</v>
      </c>
      <c r="B16" s="18"/>
      <c r="C16" s="18"/>
      <c r="D16" s="18"/>
    </row>
    <row r="17" spans="1:4" ht="30" customHeight="1" x14ac:dyDescent="0.35">
      <c r="A17" s="18" t="s">
        <v>14</v>
      </c>
      <c r="B17" s="18"/>
      <c r="C17" s="18"/>
      <c r="D17" s="18"/>
    </row>
    <row r="18" spans="1:4" ht="15" customHeight="1" x14ac:dyDescent="0.35">
      <c r="A18" s="18" t="s">
        <v>15</v>
      </c>
      <c r="B18" s="18"/>
      <c r="C18" s="18"/>
      <c r="D18" s="18"/>
    </row>
    <row r="19" spans="1:4" x14ac:dyDescent="0.35">
      <c r="A19" s="18"/>
      <c r="B19" s="18"/>
      <c r="C19" s="18"/>
      <c r="D19" s="18"/>
    </row>
    <row r="20" spans="1:4" ht="15" customHeight="1" x14ac:dyDescent="0.35">
      <c r="A20" s="19" t="s">
        <v>16</v>
      </c>
      <c r="B20" s="19"/>
      <c r="C20" s="19"/>
      <c r="D20" s="19"/>
    </row>
    <row r="21" spans="1:4" ht="30" customHeight="1" x14ac:dyDescent="0.35">
      <c r="A21" s="18" t="s">
        <v>17</v>
      </c>
      <c r="B21" s="18"/>
      <c r="C21" s="18"/>
      <c r="D21" s="18"/>
    </row>
    <row r="22" spans="1:4" ht="15" customHeight="1" x14ac:dyDescent="0.35">
      <c r="A22" s="18" t="s">
        <v>18</v>
      </c>
      <c r="B22" s="18"/>
      <c r="C22" s="18"/>
      <c r="D22" s="18"/>
    </row>
    <row r="23" spans="1:4" x14ac:dyDescent="0.35">
      <c r="A23" s="18"/>
      <c r="B23" s="18"/>
      <c r="C23" s="18"/>
      <c r="D23" s="18"/>
    </row>
    <row r="24" spans="1:4" ht="15" customHeight="1" x14ac:dyDescent="0.35">
      <c r="A24" s="19" t="s">
        <v>19</v>
      </c>
      <c r="B24" s="19"/>
      <c r="C24" s="19"/>
      <c r="D24" s="19"/>
    </row>
    <row r="25" spans="1:4" x14ac:dyDescent="0.35">
      <c r="A25" s="1" t="s">
        <v>20</v>
      </c>
      <c r="B25" s="1" t="s">
        <v>21</v>
      </c>
      <c r="C25" s="1" t="s">
        <v>22</v>
      </c>
      <c r="D25" s="1" t="s">
        <v>23</v>
      </c>
    </row>
    <row r="26" spans="1:4" x14ac:dyDescent="0.35">
      <c r="A26" s="2" t="s">
        <v>24</v>
      </c>
      <c r="B26" s="2">
        <v>6</v>
      </c>
      <c r="C26" s="3">
        <f>COUNTIF('C1'!O6:O11,"Completa")</f>
        <v>0</v>
      </c>
      <c r="D26" s="3">
        <f>B26-C26</f>
        <v>6</v>
      </c>
    </row>
    <row r="27" spans="1:4" x14ac:dyDescent="0.35">
      <c r="A27" s="2" t="s">
        <v>25</v>
      </c>
      <c r="B27" s="2">
        <v>6</v>
      </c>
      <c r="C27" s="3">
        <f>COUNTIF('C5'!O6:O11,"Completa")</f>
        <v>0</v>
      </c>
      <c r="D27" s="3">
        <f>B27-C27</f>
        <v>6</v>
      </c>
    </row>
    <row r="28" spans="1:4" x14ac:dyDescent="0.35">
      <c r="A28" s="2" t="s">
        <v>26</v>
      </c>
      <c r="B28" s="2">
        <v>6</v>
      </c>
      <c r="C28" s="3">
        <f>COUNTIF('C6'!O6:O11,"Completa")</f>
        <v>0</v>
      </c>
      <c r="D28" s="3">
        <f>B28-C28</f>
        <v>6</v>
      </c>
    </row>
    <row r="29" spans="1:4" x14ac:dyDescent="0.35">
      <c r="A29" s="2" t="s">
        <v>27</v>
      </c>
      <c r="B29" s="2">
        <v>6</v>
      </c>
      <c r="C29" s="3">
        <f>COUNTIF('C2'!U6:U11,"Completa")</f>
        <v>0</v>
      </c>
      <c r="D29" s="3">
        <f>B29-C29</f>
        <v>6</v>
      </c>
    </row>
    <row r="30" spans="1:4" x14ac:dyDescent="0.35">
      <c r="A30" s="4" t="s">
        <v>28</v>
      </c>
      <c r="B30" s="4">
        <f>SUM(B26:B29)</f>
        <v>24</v>
      </c>
      <c r="C30" s="4">
        <f>SUM(C26:C29)</f>
        <v>0</v>
      </c>
      <c r="D30" s="4">
        <f>SUM(D26:D29)</f>
        <v>24</v>
      </c>
    </row>
    <row r="32" spans="1:4" x14ac:dyDescent="0.35">
      <c r="A32" s="5" t="s">
        <v>29</v>
      </c>
      <c r="B32" s="6"/>
    </row>
    <row r="33" spans="1:2" x14ac:dyDescent="0.35">
      <c r="A33" s="5" t="s">
        <v>30</v>
      </c>
      <c r="B33" s="6"/>
    </row>
  </sheetData>
  <mergeCells count="2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21:D21"/>
    <mergeCell ref="A22:D22"/>
    <mergeCell ref="A23:D23"/>
    <mergeCell ref="A24:D24"/>
    <mergeCell ref="A16:D16"/>
    <mergeCell ref="A17:D17"/>
    <mergeCell ref="A18:D18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/>
  </sheetViews>
  <sheetFormatPr baseColWidth="10" defaultColWidth="8.6328125" defaultRowHeight="14.5" x14ac:dyDescent="0.35"/>
  <cols>
    <col min="1" max="1" width="8" customWidth="1"/>
    <col min="2" max="2" width="22" customWidth="1"/>
    <col min="3" max="3" width="110" customWidth="1"/>
  </cols>
  <sheetData>
    <row r="1" spans="1:3" ht="16.5" x14ac:dyDescent="0.35">
      <c r="A1" s="7" t="s">
        <v>31</v>
      </c>
    </row>
    <row r="2" spans="1:3" ht="30" customHeight="1" x14ac:dyDescent="0.35">
      <c r="A2" s="21" t="s">
        <v>32</v>
      </c>
      <c r="B2" s="21"/>
      <c r="C2" s="21"/>
    </row>
    <row r="4" spans="1:3" x14ac:dyDescent="0.35">
      <c r="A4" s="1" t="s">
        <v>20</v>
      </c>
      <c r="B4" s="1" t="s">
        <v>33</v>
      </c>
      <c r="C4" s="1" t="s">
        <v>34</v>
      </c>
    </row>
    <row r="5" spans="1:3" ht="18.75" customHeight="1" x14ac:dyDescent="0.35">
      <c r="A5" s="8" t="s">
        <v>24</v>
      </c>
      <c r="B5" s="8" t="s">
        <v>35</v>
      </c>
      <c r="C5" s="9" t="s">
        <v>36</v>
      </c>
    </row>
    <row r="6" spans="1:3" ht="33.75" customHeight="1" x14ac:dyDescent="0.35">
      <c r="A6" s="8" t="s">
        <v>24</v>
      </c>
      <c r="B6" s="8" t="s">
        <v>37</v>
      </c>
      <c r="C6" s="9" t="s">
        <v>38</v>
      </c>
    </row>
    <row r="7" spans="1:3" ht="18.75" customHeight="1" x14ac:dyDescent="0.35">
      <c r="A7" s="8" t="s">
        <v>24</v>
      </c>
      <c r="B7" s="8" t="s">
        <v>39</v>
      </c>
      <c r="C7" s="9" t="s">
        <v>40</v>
      </c>
    </row>
    <row r="8" spans="1:3" ht="18.75" customHeight="1" x14ac:dyDescent="0.35">
      <c r="A8" s="8" t="s">
        <v>24</v>
      </c>
      <c r="B8" s="8" t="s">
        <v>41</v>
      </c>
      <c r="C8" s="9" t="s">
        <v>42</v>
      </c>
    </row>
    <row r="9" spans="1:3" ht="33.75" customHeight="1" x14ac:dyDescent="0.35">
      <c r="A9" s="8" t="s">
        <v>24</v>
      </c>
      <c r="B9" s="8" t="s">
        <v>43</v>
      </c>
      <c r="C9" s="9" t="s">
        <v>44</v>
      </c>
    </row>
    <row r="10" spans="1:3" ht="33.75" customHeight="1" x14ac:dyDescent="0.35">
      <c r="A10" s="8" t="s">
        <v>25</v>
      </c>
      <c r="B10" s="8" t="s">
        <v>35</v>
      </c>
      <c r="C10" s="9" t="s">
        <v>45</v>
      </c>
    </row>
    <row r="11" spans="1:3" ht="33.75" customHeight="1" x14ac:dyDescent="0.35">
      <c r="A11" s="8" t="s">
        <v>25</v>
      </c>
      <c r="B11" s="8" t="s">
        <v>37</v>
      </c>
      <c r="C11" s="9" t="s">
        <v>46</v>
      </c>
    </row>
    <row r="12" spans="1:3" ht="33.75" customHeight="1" x14ac:dyDescent="0.35">
      <c r="A12" s="8" t="s">
        <v>25</v>
      </c>
      <c r="B12" s="8" t="s">
        <v>39</v>
      </c>
      <c r="C12" s="9" t="s">
        <v>47</v>
      </c>
    </row>
    <row r="13" spans="1:3" ht="33.75" customHeight="1" x14ac:dyDescent="0.35">
      <c r="A13" s="8" t="s">
        <v>25</v>
      </c>
      <c r="B13" s="8" t="s">
        <v>41</v>
      </c>
      <c r="C13" s="9" t="s">
        <v>48</v>
      </c>
    </row>
    <row r="14" spans="1:3" ht="48.75" customHeight="1" x14ac:dyDescent="0.35">
      <c r="A14" s="8" t="s">
        <v>26</v>
      </c>
      <c r="B14" s="8" t="s">
        <v>35</v>
      </c>
      <c r="C14" s="9" t="s">
        <v>49</v>
      </c>
    </row>
    <row r="15" spans="1:3" ht="33.75" customHeight="1" x14ac:dyDescent="0.35">
      <c r="A15" s="8" t="s">
        <v>26</v>
      </c>
      <c r="B15" s="8" t="s">
        <v>37</v>
      </c>
      <c r="C15" s="9" t="s">
        <v>50</v>
      </c>
    </row>
    <row r="16" spans="1:3" ht="33.75" customHeight="1" x14ac:dyDescent="0.35">
      <c r="A16" s="8" t="s">
        <v>26</v>
      </c>
      <c r="B16" s="8" t="s">
        <v>39</v>
      </c>
      <c r="C16" s="9" t="s">
        <v>51</v>
      </c>
    </row>
    <row r="17" spans="1:3" ht="33.75" customHeight="1" x14ac:dyDescent="0.35">
      <c r="A17" s="8" t="s">
        <v>26</v>
      </c>
      <c r="B17" s="8" t="s">
        <v>41</v>
      </c>
      <c r="C17" s="9" t="s">
        <v>52</v>
      </c>
    </row>
    <row r="18" spans="1:3" ht="18.75" customHeight="1" x14ac:dyDescent="0.35">
      <c r="A18" s="8" t="s">
        <v>27</v>
      </c>
      <c r="B18" s="8" t="s">
        <v>53</v>
      </c>
      <c r="C18" s="9" t="s">
        <v>54</v>
      </c>
    </row>
    <row r="19" spans="1:3" ht="18.75" customHeight="1" x14ac:dyDescent="0.35">
      <c r="A19" s="8" t="s">
        <v>27</v>
      </c>
      <c r="B19" s="8" t="s">
        <v>55</v>
      </c>
      <c r="C19" s="9" t="s">
        <v>56</v>
      </c>
    </row>
    <row r="20" spans="1:3" ht="18.75" customHeight="1" x14ac:dyDescent="0.35">
      <c r="A20" s="8" t="s">
        <v>27</v>
      </c>
      <c r="B20" s="8" t="s">
        <v>57</v>
      </c>
      <c r="C20" s="9" t="s">
        <v>58</v>
      </c>
    </row>
    <row r="21" spans="1:3" ht="18.75" customHeight="1" x14ac:dyDescent="0.35">
      <c r="A21" s="8" t="s">
        <v>27</v>
      </c>
      <c r="B21" s="8" t="s">
        <v>59</v>
      </c>
      <c r="C21" s="9" t="s">
        <v>60</v>
      </c>
    </row>
    <row r="22" spans="1:3" ht="18.75" customHeight="1" x14ac:dyDescent="0.35">
      <c r="A22" s="8" t="s">
        <v>27</v>
      </c>
      <c r="B22" s="8" t="s">
        <v>61</v>
      </c>
      <c r="C22" s="9" t="s">
        <v>62</v>
      </c>
    </row>
    <row r="23" spans="1:3" ht="18.75" customHeight="1" x14ac:dyDescent="0.35">
      <c r="A23" s="8" t="s">
        <v>27</v>
      </c>
      <c r="B23" s="8" t="s">
        <v>63</v>
      </c>
      <c r="C23" s="9" t="s">
        <v>64</v>
      </c>
    </row>
    <row r="24" spans="1:3" ht="18.75" customHeight="1" x14ac:dyDescent="0.35">
      <c r="A24" s="8" t="s">
        <v>27</v>
      </c>
      <c r="B24" s="8" t="s">
        <v>65</v>
      </c>
      <c r="C24" s="9" t="s">
        <v>66</v>
      </c>
    </row>
    <row r="25" spans="1:3" ht="18.75" customHeight="1" x14ac:dyDescent="0.35">
      <c r="A25" s="8" t="s">
        <v>27</v>
      </c>
      <c r="B25" s="8" t="s">
        <v>67</v>
      </c>
      <c r="C25" s="9" t="s">
        <v>68</v>
      </c>
    </row>
    <row r="26" spans="1:3" ht="18.75" customHeight="1" x14ac:dyDescent="0.35">
      <c r="A26" s="8" t="s">
        <v>27</v>
      </c>
      <c r="B26" s="8" t="s">
        <v>69</v>
      </c>
      <c r="C26" s="9" t="s">
        <v>70</v>
      </c>
    </row>
    <row r="27" spans="1:3" ht="18.75" customHeight="1" x14ac:dyDescent="0.35">
      <c r="A27" s="8" t="s">
        <v>27</v>
      </c>
      <c r="B27" s="8" t="s">
        <v>71</v>
      </c>
      <c r="C27" s="9" t="s">
        <v>72</v>
      </c>
    </row>
    <row r="28" spans="1:3" ht="18.75" customHeight="1" x14ac:dyDescent="0.35">
      <c r="A28" s="8" t="s">
        <v>27</v>
      </c>
      <c r="B28" s="8" t="s">
        <v>73</v>
      </c>
      <c r="C28" s="9" t="s">
        <v>74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zoomScaleNormal="100" workbookViewId="0">
      <pane xSplit="1" ySplit="5" topLeftCell="F6" activePane="bottomRight" state="frozen"/>
      <selection pane="topRight" activeCell="B1" sqref="B1"/>
      <selection pane="bottomLeft" activeCell="A6" sqref="A6"/>
      <selection pane="bottomRight" activeCell="B6" sqref="B6:L11"/>
    </sheetView>
  </sheetViews>
  <sheetFormatPr baseColWidth="10" defaultColWidth="8.6328125" defaultRowHeight="14.5" x14ac:dyDescent="0.35"/>
  <cols>
    <col min="1" max="1" width="11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4" customWidth="1"/>
    <col min="11" max="11" width="13" customWidth="1"/>
    <col min="12" max="12" width="38" customWidth="1"/>
    <col min="13" max="13" width="12" customWidth="1"/>
    <col min="14" max="14" width="13" customWidth="1"/>
    <col min="15" max="15" width="11" customWidth="1"/>
  </cols>
  <sheetData>
    <row r="1" spans="1:15" ht="16.5" x14ac:dyDescent="0.35">
      <c r="A1" s="7" t="s">
        <v>75</v>
      </c>
    </row>
    <row r="2" spans="1:15" x14ac:dyDescent="0.35">
      <c r="A2" s="10" t="s">
        <v>76</v>
      </c>
    </row>
    <row r="4" spans="1:15" ht="61.5" customHeight="1" x14ac:dyDescent="0.3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94</v>
      </c>
      <c r="F5" s="11" t="s">
        <v>94</v>
      </c>
      <c r="G5" s="11"/>
      <c r="H5" s="11" t="s">
        <v>93</v>
      </c>
      <c r="I5" s="11" t="s">
        <v>93</v>
      </c>
      <c r="J5" s="11">
        <v>1</v>
      </c>
      <c r="K5" s="11">
        <v>0</v>
      </c>
      <c r="L5" s="12" t="s">
        <v>95</v>
      </c>
      <c r="M5" s="11">
        <f t="shared" ref="M5:N11" si="0">COUNTIF(B5,"S")+COUNTIF(D5,"S")+COUNTIF(F5,"S")+COUNTIF(H5,"S")</f>
        <v>3</v>
      </c>
      <c r="N5" s="11">
        <f t="shared" si="0"/>
        <v>2</v>
      </c>
      <c r="O5" s="11" t="str">
        <f t="shared" ref="O5:O11" si="1">IF(AND(B5&lt;&gt;"",D5&lt;&gt;"",F5&lt;&gt;"",H5&lt;&gt;"",J5&lt;&gt;"",K5&lt;&gt;""),"Completa","Falta")</f>
        <v>Completa</v>
      </c>
    </row>
    <row r="6" spans="1:15" ht="21.75" customHeight="1" x14ac:dyDescent="0.35">
      <c r="A6" s="13" t="s">
        <v>96</v>
      </c>
      <c r="B6" s="14"/>
      <c r="C6" s="14"/>
      <c r="D6" s="14"/>
      <c r="E6" s="14"/>
      <c r="F6" s="14"/>
      <c r="G6" s="14"/>
      <c r="H6" s="14"/>
      <c r="I6" s="14"/>
      <c r="J6" s="14"/>
      <c r="K6" s="14"/>
      <c r="M6" s="16">
        <f t="shared" si="0"/>
        <v>0</v>
      </c>
      <c r="N6" s="16">
        <f t="shared" si="0"/>
        <v>0</v>
      </c>
      <c r="O6" s="16" t="str">
        <f t="shared" si="1"/>
        <v>Falta</v>
      </c>
    </row>
    <row r="7" spans="1:15" ht="21.75" customHeight="1" x14ac:dyDescent="0.35">
      <c r="A7" s="13" t="s">
        <v>97</v>
      </c>
      <c r="B7" s="14"/>
      <c r="C7" s="14"/>
      <c r="D7" s="14"/>
      <c r="E7" s="14"/>
      <c r="F7" s="14"/>
      <c r="G7" s="14"/>
      <c r="H7" s="14"/>
      <c r="I7" s="14"/>
      <c r="J7" s="14"/>
      <c r="K7" s="14"/>
      <c r="M7" s="16">
        <f t="shared" si="0"/>
        <v>0</v>
      </c>
      <c r="N7" s="16">
        <f t="shared" si="0"/>
        <v>0</v>
      </c>
      <c r="O7" s="16" t="str">
        <f t="shared" si="1"/>
        <v>Falta</v>
      </c>
    </row>
    <row r="8" spans="1:15" ht="21.75" customHeight="1" x14ac:dyDescent="0.35">
      <c r="A8" s="13" t="s">
        <v>98</v>
      </c>
      <c r="B8" s="14"/>
      <c r="C8" s="14"/>
      <c r="D8" s="14"/>
      <c r="E8" s="14"/>
      <c r="F8" s="14"/>
      <c r="G8" s="14"/>
      <c r="H8" s="14"/>
      <c r="I8" s="14"/>
      <c r="J8" s="14"/>
      <c r="K8" s="14"/>
      <c r="M8" s="16">
        <f t="shared" si="0"/>
        <v>0</v>
      </c>
      <c r="N8" s="16">
        <f t="shared" si="0"/>
        <v>0</v>
      </c>
      <c r="O8" s="16" t="str">
        <f t="shared" si="1"/>
        <v>Falta</v>
      </c>
    </row>
    <row r="9" spans="1:15" ht="21.75" customHeight="1" x14ac:dyDescent="0.35">
      <c r="A9" s="17" t="s">
        <v>99</v>
      </c>
      <c r="B9" s="14"/>
      <c r="C9" s="14"/>
      <c r="D9" s="14"/>
      <c r="E9" s="14"/>
      <c r="F9" s="14"/>
      <c r="G9" s="14"/>
      <c r="H9" s="14"/>
      <c r="I9" s="14"/>
      <c r="J9" s="14"/>
      <c r="K9" s="14"/>
      <c r="M9" s="16">
        <f t="shared" si="0"/>
        <v>0</v>
      </c>
      <c r="N9" s="16">
        <f t="shared" si="0"/>
        <v>0</v>
      </c>
      <c r="O9" s="16" t="str">
        <f t="shared" si="1"/>
        <v>Falta</v>
      </c>
    </row>
    <row r="10" spans="1:15" ht="21.75" customHeight="1" x14ac:dyDescent="0.35">
      <c r="A10" s="13" t="s">
        <v>100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M10" s="16">
        <f t="shared" si="0"/>
        <v>0</v>
      </c>
      <c r="N10" s="16">
        <f t="shared" si="0"/>
        <v>0</v>
      </c>
      <c r="O10" s="16" t="str">
        <f t="shared" si="1"/>
        <v>Falta</v>
      </c>
    </row>
    <row r="11" spans="1:15" ht="21.75" customHeight="1" x14ac:dyDescent="0.35">
      <c r="A11" s="13" t="s">
        <v>101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M11" s="16">
        <f t="shared" si="0"/>
        <v>0</v>
      </c>
      <c r="N11" s="16">
        <f t="shared" si="0"/>
        <v>0</v>
      </c>
      <c r="O11" s="16" t="str">
        <f t="shared" si="1"/>
        <v>Falta</v>
      </c>
    </row>
  </sheetData>
  <dataValidations count="2">
    <dataValidation type="list" allowBlank="1" showErrorMessage="1" errorTitle="Valor no válido" error="Escribe S o N." sqref="B5:I11" xr:uid="{00000000-0002-0000-0200-000000000000}">
      <formula1>"S,N"</formula1>
      <formula2>0</formula2>
    </dataValidation>
    <dataValidation type="whole" operator="greaterThanOrEqual" allowBlank="1" showErrorMessage="1" errorTitle="Valor no válido" error="Escribe un número entero, 0 o mayor." sqref="J5:K11" xr:uid="{00000000-0002-0000-02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11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4" customWidth="1"/>
    <col min="11" max="11" width="13" customWidth="1"/>
    <col min="12" max="12" width="38" customWidth="1"/>
    <col min="13" max="13" width="12" customWidth="1"/>
    <col min="14" max="14" width="13" customWidth="1"/>
    <col min="15" max="15" width="11" customWidth="1"/>
  </cols>
  <sheetData>
    <row r="1" spans="1:15" ht="16.5" x14ac:dyDescent="0.35">
      <c r="A1" s="7" t="s">
        <v>102</v>
      </c>
    </row>
    <row r="2" spans="1:15" x14ac:dyDescent="0.35">
      <c r="A2" s="10" t="s">
        <v>76</v>
      </c>
    </row>
    <row r="4" spans="1:15" ht="61.5" customHeight="1" x14ac:dyDescent="0.35">
      <c r="A4" s="1" t="s">
        <v>77</v>
      </c>
      <c r="B4" s="1" t="s">
        <v>103</v>
      </c>
      <c r="C4" s="1" t="s">
        <v>79</v>
      </c>
      <c r="D4" s="1" t="s">
        <v>104</v>
      </c>
      <c r="E4" s="1" t="s">
        <v>81</v>
      </c>
      <c r="F4" s="1" t="s">
        <v>105</v>
      </c>
      <c r="G4" s="1" t="s">
        <v>83</v>
      </c>
      <c r="H4" s="1" t="s">
        <v>106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94</v>
      </c>
      <c r="F5" s="11" t="s">
        <v>94</v>
      </c>
      <c r="G5" s="11"/>
      <c r="H5" s="11" t="s">
        <v>93</v>
      </c>
      <c r="I5" s="11" t="s">
        <v>93</v>
      </c>
      <c r="J5" s="11">
        <v>1</v>
      </c>
      <c r="K5" s="11">
        <v>0</v>
      </c>
      <c r="L5" s="12" t="s">
        <v>95</v>
      </c>
      <c r="M5" s="11">
        <f t="shared" ref="M5:N11" si="0">COUNTIF(B5,"S")+COUNTIF(D5,"S")+COUNTIF(F5,"S")+COUNTIF(H5,"S")</f>
        <v>3</v>
      </c>
      <c r="N5" s="11">
        <f t="shared" si="0"/>
        <v>2</v>
      </c>
      <c r="O5" s="11" t="str">
        <f t="shared" ref="O5:O11" si="1">IF(AND(B5&lt;&gt;"",D5&lt;&gt;"",F5&lt;&gt;"",H5&lt;&gt;"",J5&lt;&gt;"",K5&lt;&gt;""),"Completa","Falta")</f>
        <v>Completa</v>
      </c>
    </row>
    <row r="6" spans="1:15" ht="21.75" customHeight="1" x14ac:dyDescent="0.35">
      <c r="A6" s="13" t="s">
        <v>107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6">
        <f t="shared" si="0"/>
        <v>0</v>
      </c>
      <c r="N6" s="16">
        <f t="shared" si="0"/>
        <v>0</v>
      </c>
      <c r="O6" s="16" t="str">
        <f t="shared" si="1"/>
        <v>Falta</v>
      </c>
    </row>
    <row r="7" spans="1:15" ht="21.75" customHeight="1" x14ac:dyDescent="0.35">
      <c r="A7" s="13" t="s">
        <v>108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6">
        <f t="shared" si="0"/>
        <v>0</v>
      </c>
      <c r="N7" s="16">
        <f t="shared" si="0"/>
        <v>0</v>
      </c>
      <c r="O7" s="16" t="str">
        <f t="shared" si="1"/>
        <v>Falta</v>
      </c>
    </row>
    <row r="8" spans="1:15" ht="21.75" customHeight="1" x14ac:dyDescent="0.35">
      <c r="A8" s="13" t="s">
        <v>109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6">
        <f t="shared" si="0"/>
        <v>0</v>
      </c>
      <c r="N8" s="16">
        <f t="shared" si="0"/>
        <v>0</v>
      </c>
      <c r="O8" s="16" t="str">
        <f t="shared" si="1"/>
        <v>Falta</v>
      </c>
    </row>
    <row r="9" spans="1:15" ht="21.75" customHeight="1" x14ac:dyDescent="0.35">
      <c r="A9" s="13" t="s">
        <v>110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6">
        <f t="shared" si="0"/>
        <v>0</v>
      </c>
      <c r="N9" s="16">
        <f t="shared" si="0"/>
        <v>0</v>
      </c>
      <c r="O9" s="16" t="str">
        <f t="shared" si="1"/>
        <v>Falta</v>
      </c>
    </row>
    <row r="10" spans="1:15" ht="21.75" customHeight="1" x14ac:dyDescent="0.35">
      <c r="A10" s="13" t="s">
        <v>111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6">
        <f t="shared" si="0"/>
        <v>0</v>
      </c>
      <c r="N10" s="16">
        <f t="shared" si="0"/>
        <v>0</v>
      </c>
      <c r="O10" s="16" t="str">
        <f t="shared" si="1"/>
        <v>Falta</v>
      </c>
    </row>
    <row r="11" spans="1:15" ht="21.75" customHeight="1" x14ac:dyDescent="0.35">
      <c r="A11" s="13" t="s">
        <v>112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6">
        <f t="shared" si="0"/>
        <v>0</v>
      </c>
      <c r="N11" s="16">
        <f t="shared" si="0"/>
        <v>0</v>
      </c>
      <c r="O11" s="16" t="str">
        <f t="shared" si="1"/>
        <v>Falta</v>
      </c>
    </row>
  </sheetData>
  <dataValidations count="2">
    <dataValidation type="whole" operator="greaterThanOrEqual" allowBlank="1" showErrorMessage="1" errorTitle="Valor no válido" error="Escribe un número entero, 0 o mayor." sqref="J5:K11" xr:uid="{00000000-0002-0000-0300-000000000000}">
      <formula1>0</formula1>
      <formula2>0</formula2>
    </dataValidation>
    <dataValidation type="list" allowBlank="1" showErrorMessage="1" errorTitle="Valor no válido" error="Escribe S o N." sqref="B5:I11" xr:uid="{00000000-0002-0000-0300-000001000000}">
      <formula1>"S,N"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11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4" customWidth="1"/>
    <col min="11" max="11" width="13" customWidth="1"/>
    <col min="12" max="12" width="38" customWidth="1"/>
    <col min="13" max="13" width="12" customWidth="1"/>
    <col min="14" max="14" width="13" customWidth="1"/>
    <col min="15" max="15" width="11" customWidth="1"/>
  </cols>
  <sheetData>
    <row r="1" spans="1:15" ht="16.5" x14ac:dyDescent="0.35">
      <c r="A1" s="7" t="s">
        <v>113</v>
      </c>
    </row>
    <row r="2" spans="1:15" x14ac:dyDescent="0.35">
      <c r="A2" s="10" t="s">
        <v>76</v>
      </c>
    </row>
    <row r="4" spans="1:15" ht="61.5" customHeight="1" x14ac:dyDescent="0.35">
      <c r="A4" s="1" t="s">
        <v>77</v>
      </c>
      <c r="B4" s="1" t="s">
        <v>114</v>
      </c>
      <c r="C4" s="1" t="s">
        <v>79</v>
      </c>
      <c r="D4" s="1" t="s">
        <v>115</v>
      </c>
      <c r="E4" s="1" t="s">
        <v>81</v>
      </c>
      <c r="F4" s="1" t="s">
        <v>116</v>
      </c>
      <c r="G4" s="1" t="s">
        <v>83</v>
      </c>
      <c r="H4" s="1" t="s">
        <v>117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94</v>
      </c>
      <c r="F5" s="11" t="s">
        <v>94</v>
      </c>
      <c r="G5" s="11"/>
      <c r="H5" s="11" t="s">
        <v>93</v>
      </c>
      <c r="I5" s="11" t="s">
        <v>93</v>
      </c>
      <c r="J5" s="11">
        <v>1</v>
      </c>
      <c r="K5" s="11">
        <v>0</v>
      </c>
      <c r="L5" s="12" t="s">
        <v>95</v>
      </c>
      <c r="M5" s="11">
        <f t="shared" ref="M5:N11" si="0">COUNTIF(B5,"S")+COUNTIF(D5,"S")+COUNTIF(F5,"S")+COUNTIF(H5,"S")</f>
        <v>3</v>
      </c>
      <c r="N5" s="11">
        <f t="shared" si="0"/>
        <v>2</v>
      </c>
      <c r="O5" s="11" t="str">
        <f t="shared" ref="O5:O11" si="1">IF(AND(B5&lt;&gt;"",D5&lt;&gt;"",F5&lt;&gt;"",H5&lt;&gt;"",J5&lt;&gt;"",K5&lt;&gt;""),"Completa","Falta")</f>
        <v>Completa</v>
      </c>
    </row>
    <row r="6" spans="1:15" ht="21.75" customHeight="1" x14ac:dyDescent="0.35">
      <c r="A6" s="13" t="s">
        <v>118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6">
        <f t="shared" si="0"/>
        <v>0</v>
      </c>
      <c r="N6" s="16">
        <f t="shared" si="0"/>
        <v>0</v>
      </c>
      <c r="O6" s="16" t="str">
        <f t="shared" si="1"/>
        <v>Falta</v>
      </c>
    </row>
    <row r="7" spans="1:15" ht="21.75" customHeight="1" x14ac:dyDescent="0.35">
      <c r="A7" s="13" t="s">
        <v>119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6">
        <f t="shared" si="0"/>
        <v>0</v>
      </c>
      <c r="N7" s="16">
        <f t="shared" si="0"/>
        <v>0</v>
      </c>
      <c r="O7" s="16" t="str">
        <f t="shared" si="1"/>
        <v>Falta</v>
      </c>
    </row>
    <row r="8" spans="1:15" ht="21.75" customHeight="1" x14ac:dyDescent="0.35">
      <c r="A8" s="13" t="s">
        <v>120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6">
        <f t="shared" si="0"/>
        <v>0</v>
      </c>
      <c r="N8" s="16">
        <f t="shared" si="0"/>
        <v>0</v>
      </c>
      <c r="O8" s="16" t="str">
        <f t="shared" si="1"/>
        <v>Falta</v>
      </c>
    </row>
    <row r="9" spans="1:15" ht="21.75" customHeight="1" x14ac:dyDescent="0.35">
      <c r="A9" s="13" t="s">
        <v>121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6">
        <f t="shared" si="0"/>
        <v>0</v>
      </c>
      <c r="N9" s="16">
        <f t="shared" si="0"/>
        <v>0</v>
      </c>
      <c r="O9" s="16" t="str">
        <f t="shared" si="1"/>
        <v>Falta</v>
      </c>
    </row>
    <row r="10" spans="1:15" ht="21.75" customHeight="1" x14ac:dyDescent="0.35">
      <c r="A10" s="13" t="s">
        <v>122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6">
        <f t="shared" si="0"/>
        <v>0</v>
      </c>
      <c r="N10" s="16">
        <f t="shared" si="0"/>
        <v>0</v>
      </c>
      <c r="O10" s="16" t="str">
        <f t="shared" si="1"/>
        <v>Falta</v>
      </c>
    </row>
    <row r="11" spans="1:15" ht="21.75" customHeight="1" x14ac:dyDescent="0.35">
      <c r="A11" s="13" t="s">
        <v>123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6">
        <f t="shared" si="0"/>
        <v>0</v>
      </c>
      <c r="N11" s="16">
        <f t="shared" si="0"/>
        <v>0</v>
      </c>
      <c r="O11" s="16" t="str">
        <f t="shared" si="1"/>
        <v>Falta</v>
      </c>
    </row>
  </sheetData>
  <dataValidations count="2">
    <dataValidation type="whole" operator="greaterThanOrEqual" allowBlank="1" showErrorMessage="1" errorTitle="Valor no válido" error="Escribe un número entero, 0 o mayor." sqref="J5:K11" xr:uid="{00000000-0002-0000-0400-000000000000}">
      <formula1>0</formula1>
      <formula2>0</formula2>
    </dataValidation>
    <dataValidation type="list" allowBlank="1" showErrorMessage="1" errorTitle="Valor no válido" error="Escribe S o N." sqref="B5:I11" xr:uid="{00000000-0002-0000-0400-000001000000}">
      <formula1>"S,N"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1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11" customWidth="1"/>
    <col min="2" max="7" width="13" customWidth="1"/>
    <col min="8" max="8" width="17" customWidth="1"/>
    <col min="9" max="15" width="13" customWidth="1"/>
    <col min="16" max="16" width="14" customWidth="1"/>
    <col min="17" max="17" width="11" customWidth="1"/>
    <col min="18" max="18" width="38" customWidth="1"/>
    <col min="19" max="19" width="12" customWidth="1"/>
    <col min="20" max="20" width="14" customWidth="1"/>
    <col min="21" max="21" width="11" customWidth="1"/>
  </cols>
  <sheetData>
    <row r="1" spans="1:21" ht="16.5" x14ac:dyDescent="0.35">
      <c r="A1" s="7" t="s">
        <v>124</v>
      </c>
    </row>
    <row r="2" spans="1:21" x14ac:dyDescent="0.35">
      <c r="A2" s="10" t="s">
        <v>76</v>
      </c>
    </row>
    <row r="4" spans="1:21" ht="61.5" customHeight="1" x14ac:dyDescent="0.35">
      <c r="A4" s="1" t="s">
        <v>77</v>
      </c>
      <c r="B4" s="1" t="s">
        <v>125</v>
      </c>
      <c r="C4" s="1" t="s">
        <v>126</v>
      </c>
      <c r="D4" s="1" t="s">
        <v>127</v>
      </c>
      <c r="E4" s="1" t="s">
        <v>128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137</v>
      </c>
      <c r="O4" s="1" t="s">
        <v>138</v>
      </c>
      <c r="P4" s="1" t="s">
        <v>139</v>
      </c>
      <c r="Q4" s="1" t="s">
        <v>140</v>
      </c>
      <c r="R4" s="1" t="s">
        <v>88</v>
      </c>
      <c r="S4" s="1" t="s">
        <v>141</v>
      </c>
      <c r="T4" s="1" t="s">
        <v>142</v>
      </c>
      <c r="U4" s="1" t="s">
        <v>91</v>
      </c>
    </row>
    <row r="5" spans="1:21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93</v>
      </c>
      <c r="F5" s="11" t="s">
        <v>93</v>
      </c>
      <c r="G5" s="11" t="s">
        <v>93</v>
      </c>
      <c r="H5" s="11" t="s">
        <v>143</v>
      </c>
      <c r="I5" s="11" t="s">
        <v>93</v>
      </c>
      <c r="J5" s="11" t="s">
        <v>93</v>
      </c>
      <c r="K5" s="11" t="s">
        <v>94</v>
      </c>
      <c r="L5" s="11" t="s">
        <v>93</v>
      </c>
      <c r="M5" s="11" t="s">
        <v>93</v>
      </c>
      <c r="N5" s="11" t="s">
        <v>94</v>
      </c>
      <c r="O5" s="11" t="s">
        <v>94</v>
      </c>
      <c r="P5" s="11">
        <v>2</v>
      </c>
      <c r="Q5" s="11" t="s">
        <v>94</v>
      </c>
      <c r="R5" s="12" t="s">
        <v>144</v>
      </c>
      <c r="S5" s="11">
        <f t="shared" ref="S5:S11" si="0">COUNTIF(B5,"S")+COUNTIF(C5,"S")+COUNTIF(D5,"S")+COUNTIF(E5,"S")+COUNTIF(F5,"S")</f>
        <v>5</v>
      </c>
      <c r="T5" s="11">
        <f t="shared" ref="T5:T11" si="1">COUNTIF(J5,"S")+COUNTIF(K5,"S")+COUNTIF(L5,"S")+COUNTIF(M5,"S")+COUNTIF(N5,"S")+COUNTIF(O5,"S")</f>
        <v>3</v>
      </c>
      <c r="U5" s="11" t="str">
        <f t="shared" ref="U5:U11" si="2">IF(AND(B5&lt;&gt;"",C5&lt;&gt;"",D5&lt;&gt;"",E5&lt;&gt;"",F5&lt;&gt;"",G5&lt;&gt;"",H5&lt;&gt;"",I5&lt;&gt;"",J5&lt;&gt;"",K5&lt;&gt;"",L5&lt;&gt;"",M5&lt;&gt;"",N5&lt;&gt;"",O5&lt;&gt;"",P5&lt;&gt;"",Q5&lt;&gt;""),"Completa","Falta")</f>
        <v>Completa</v>
      </c>
    </row>
    <row r="6" spans="1:21" ht="21.75" customHeight="1" x14ac:dyDescent="0.35">
      <c r="A6" s="13" t="s">
        <v>145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6">
        <f t="shared" si="0"/>
        <v>0</v>
      </c>
      <c r="T6" s="16">
        <f t="shared" si="1"/>
        <v>0</v>
      </c>
      <c r="U6" s="16" t="str">
        <f t="shared" si="2"/>
        <v>Falta</v>
      </c>
    </row>
    <row r="7" spans="1:21" ht="21.75" customHeight="1" x14ac:dyDescent="0.35">
      <c r="A7" s="13" t="s">
        <v>146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6">
        <f t="shared" si="0"/>
        <v>0</v>
      </c>
      <c r="T7" s="16">
        <f t="shared" si="1"/>
        <v>0</v>
      </c>
      <c r="U7" s="16" t="str">
        <f t="shared" si="2"/>
        <v>Falta</v>
      </c>
    </row>
    <row r="8" spans="1:21" ht="21.75" customHeight="1" x14ac:dyDescent="0.35">
      <c r="A8" s="13" t="s">
        <v>147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6">
        <f t="shared" si="0"/>
        <v>0</v>
      </c>
      <c r="T8" s="16">
        <f t="shared" si="1"/>
        <v>0</v>
      </c>
      <c r="U8" s="16" t="str">
        <f t="shared" si="2"/>
        <v>Falta</v>
      </c>
    </row>
    <row r="9" spans="1:21" ht="21.75" customHeight="1" x14ac:dyDescent="0.35">
      <c r="A9" s="13" t="s">
        <v>148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6">
        <f t="shared" si="0"/>
        <v>0</v>
      </c>
      <c r="T9" s="16">
        <f t="shared" si="1"/>
        <v>0</v>
      </c>
      <c r="U9" s="16" t="str">
        <f t="shared" si="2"/>
        <v>Falta</v>
      </c>
    </row>
    <row r="10" spans="1:21" ht="21.75" customHeight="1" x14ac:dyDescent="0.35">
      <c r="A10" s="13" t="s">
        <v>149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6">
        <f t="shared" si="0"/>
        <v>0</v>
      </c>
      <c r="T10" s="16">
        <f t="shared" si="1"/>
        <v>0</v>
      </c>
      <c r="U10" s="16" t="str">
        <f t="shared" si="2"/>
        <v>Falta</v>
      </c>
    </row>
    <row r="11" spans="1:21" ht="21.75" customHeight="1" x14ac:dyDescent="0.35">
      <c r="A11" s="13" t="s">
        <v>150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6">
        <f t="shared" si="0"/>
        <v>0</v>
      </c>
      <c r="T11" s="16">
        <f t="shared" si="1"/>
        <v>0</v>
      </c>
      <c r="U11" s="16" t="str">
        <f t="shared" si="2"/>
        <v>Falta</v>
      </c>
    </row>
  </sheetData>
  <dataValidations count="3">
    <dataValidation type="whole" operator="greaterThanOrEqual" allowBlank="1" showErrorMessage="1" errorTitle="Valor no válido" error="Escribe un número entero, 0 o mayor." sqref="P5:P11" xr:uid="{00000000-0002-0000-0500-000000000000}">
      <formula1>0</formula1>
      <formula2>0</formula2>
    </dataValidation>
    <dataValidation type="list" allowBlank="1" showErrorMessage="1" errorTitle="Valor no válido" error="Escribe S o N." sqref="B5:G11 I5:O11 Q5:Q11" xr:uid="{00000000-0002-0000-0500-000001000000}">
      <formula1>"S,N"</formula1>
      <formula2>0</formula2>
    </dataValidation>
    <dataValidation type="list" allowBlank="1" showErrorMessage="1" errorTitle="Valor no válido" error="Elige una opción de la lista." sqref="H5:H11" xr:uid="{00000000-0002-0000-0500-000002000000}">
      <formula1>"FUNCTION,FUNCTION_BLOCK,PROGRAM,Varios o ninguno"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Clave</vt:lpstr>
      <vt:lpstr>C1</vt:lpstr>
      <vt:lpstr>C5</vt:lpstr>
      <vt:lpstr>C6</vt:lpstr>
      <vt:lpstr>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MONTENEGRO</cp:lastModifiedBy>
  <cp:revision>0</cp:revision>
  <dcterms:created xsi:type="dcterms:W3CDTF">2026-10-07T06:13:24Z</dcterms:created>
  <dcterms:modified xsi:type="dcterms:W3CDTF">2026-10-09T06:30:32Z</dcterms:modified>
  <dc:language>en-US</dc:language>
</cp:coreProperties>
</file>