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úbrica" sheetId="2" state="visible" r:id="rId2"/>
    <sheet xmlns:r="http://schemas.openxmlformats.org/officeDocument/2006/relationships" name="B1" sheetId="3" state="visible" r:id="rId3"/>
    <sheet xmlns:r="http://schemas.openxmlformats.org/officeDocument/2006/relationships" name="B2" sheetId="4" state="visible" r:id="rId4"/>
    <sheet xmlns:r="http://schemas.openxmlformats.org/officeDocument/2006/relationships" name="B3" sheetId="5" state="visible" r:id="rId5"/>
    <sheet xmlns:r="http://schemas.openxmlformats.org/officeDocument/2006/relationships" name="B4" sheetId="6" state="visible" r:id="rId6"/>
    <sheet xmlns:r="http://schemas.openxmlformats.org/officeDocument/2006/relationships" name="B5" sheetId="7" state="visible" r:id="rId7"/>
    <sheet xmlns:r="http://schemas.openxmlformats.org/officeDocument/2006/relationships" name="B6" sheetId="8" state="visible" r:id="rId8"/>
    <sheet xmlns:r="http://schemas.openxmlformats.org/officeDocument/2006/relationships" name="B7" sheetId="9" state="visible" r:id="rId9"/>
    <sheet xmlns:r="http://schemas.openxmlformats.org/officeDocument/2006/relationships" name="B8" sheetId="10" state="visible" r:id="rId10"/>
    <sheet xmlns:r="http://schemas.openxmlformats.org/officeDocument/2006/relationships" name="I1" sheetId="11" state="visible" r:id="rId11"/>
    <sheet xmlns:r="http://schemas.openxmlformats.org/officeDocument/2006/relationships" name="I2" sheetId="12" state="visible" r:id="rId12"/>
    <sheet xmlns:r="http://schemas.openxmlformats.org/officeDocument/2006/relationships" name="I3" sheetId="13" state="visible" r:id="rId13"/>
    <sheet xmlns:r="http://schemas.openxmlformats.org/officeDocument/2006/relationships" name="I4" sheetId="14" state="visible" r:id="rId14"/>
    <sheet xmlns:r="http://schemas.openxmlformats.org/officeDocument/2006/relationships" name="I5" sheetId="15" state="visible" r:id="rId15"/>
    <sheet xmlns:r="http://schemas.openxmlformats.org/officeDocument/2006/relationships" name="I6" sheetId="16" state="visible" r:id="rId16"/>
    <sheet xmlns:r="http://schemas.openxmlformats.org/officeDocument/2006/relationships" name="I7" sheetId="17" state="visible" r:id="rId17"/>
    <sheet xmlns:r="http://schemas.openxmlformats.org/officeDocument/2006/relationships" name="I8" sheetId="18" state="visible" r:id="rId18"/>
    <sheet xmlns:r="http://schemas.openxmlformats.org/officeDocument/2006/relationships" name="A1" sheetId="19" state="visible" r:id="rId19"/>
    <sheet xmlns:r="http://schemas.openxmlformats.org/officeDocument/2006/relationships" name="A2" sheetId="20" state="visible" r:id="rId20"/>
    <sheet xmlns:r="http://schemas.openxmlformats.org/officeDocument/2006/relationships" name="A3" sheetId="21" state="visible" r:id="rId21"/>
    <sheet xmlns:r="http://schemas.openxmlformats.org/officeDocument/2006/relationships" name="A4" sheetId="22" state="visible" r:id="rId22"/>
    <sheet xmlns:r="http://schemas.openxmlformats.org/officeDocument/2006/relationships" name="A5" sheetId="23" state="visible" r:id="rId23"/>
    <sheet xmlns:r="http://schemas.openxmlformats.org/officeDocument/2006/relationships" name="A6" sheetId="24" state="visible" r:id="rId24"/>
    <sheet xmlns:r="http://schemas.openxmlformats.org/officeDocument/2006/relationships" name="C3" sheetId="25" state="visible" r:id="rId25"/>
    <sheet xmlns:r="http://schemas.openxmlformats.org/officeDocument/2006/relationships" name="C7" sheetId="26" state="visible" r:id="rId26"/>
    <sheet xmlns:r="http://schemas.openxmlformats.org/officeDocument/2006/relationships" name="C8" sheetId="27" state="visible" r:id="rId2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family val="2"/>
      <sz val="10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6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6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7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8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9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0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22" customWidth="1" style="21" min="2" max="4"/>
  </cols>
  <sheetData>
    <row r="1" ht="17.35" customHeight="1" s="22">
      <c r="A1" s="23" t="inlineStr">
        <is>
          <t>[OFICIAL — Evaluador LLM: DeepSeek deepseek-v4-pro (decisión 2026-10-09, INC-35)] Evaluación a ciegas con la rúbrica de 5 criterios — Evaluador 1</t>
        </is>
      </c>
    </row>
    <row r="2" ht="30" customHeight="1" s="22">
      <c r="A2" s="24" t="inlineStr">
        <is>
          <t>Tesis: LLM como asistentes de programación PLC en la academia (UTP). 600 respuestas de código de 25 tareas (generación y conversión), cada una con un código que no revela el modelo ni la estrategia.</t>
        </is>
      </c>
    </row>
    <row r="3" ht="15" customHeight="1" s="22">
      <c r="A3" s="24" t="n"/>
    </row>
    <row r="4" ht="15" customHeight="1" s="22">
      <c r="A4" s="25" t="inlineStr">
        <is>
          <t>Qué hay que hacer</t>
        </is>
      </c>
    </row>
    <row r="5" ht="30" customHeight="1" s="22">
      <c r="A5" s="24" t="inlineStr">
        <is>
          <t>1. Trabaja una tarea completa antes de pasar a la siguiente. Abre respuestas/Respuestas_&lt;tarea&gt;.html (enunciado, protocolo de prueba y respuestas por código) y la hoja de la misma tarea en este libro.</t>
        </is>
      </c>
    </row>
    <row r="6" ht="30" customHeight="1" s="22">
      <c r="A6" s="24" t="inlineStr">
        <is>
          <t>2. Rellena ÚNICAMENTE las celdas amarillas con 0, 1, 2 o 3 según la hoja Rúbrica. Las celdas azules vienen de CODESYS o se calculan solas.</t>
        </is>
      </c>
    </row>
    <row r="7" ht="30" customHeight="1" s="22">
      <c r="A7" s="24" t="inlineStr">
        <is>
          <t>3. Justifica cada puntuación en una línea, en la columna de justificación correspondiente. Sin justificación, la puntuación no es auditable.</t>
        </is>
      </c>
    </row>
    <row r="8" ht="15" customHeight="1" s="22">
      <c r="A8" s="24" t="inlineStr">
        <is>
          <t>4. La fila gris EJEMPLO solo muestra el formato. No se analiza.</t>
        </is>
      </c>
    </row>
    <row r="9" ht="30" customHeight="1" s="22">
      <c r="A9" s="24" t="inlineStr">
        <is>
          <t>5. Puedes repartir el trabajo en varias sesiones. La tabla de avance de abajo indica qué falta. Guarda con el mismo nombre.</t>
        </is>
      </c>
    </row>
    <row r="10" ht="15" customHeight="1" s="22">
      <c r="A10" s="24" t="n"/>
    </row>
    <row r="11" ht="15" customHeight="1" s="22">
      <c r="A11" s="25" t="inlineStr">
        <is>
          <t>Reglas de decisión (fijadas antes de evaluar; no se cambian durante la evaluación)</t>
        </is>
      </c>
    </row>
    <row r="12" ht="30" customHeight="1" s="22">
      <c r="A12" s="24" t="inlineStr">
        <is>
          <t>Si la respuesta NO compila: Cumplimiento IEC = 0 y Corrección funcional = 0. Ya están precargadas. Los otros tres criterios se evalúan igual, leyendo el código.</t>
        </is>
      </c>
    </row>
    <row r="13" ht="15" customHeight="1" s="22">
      <c r="A13" s="24" t="inlineStr">
        <is>
          <t>Si la respuesta pasa TODOS los pasos del harness: Corrección funcional = 3. Ya está precargada.</t>
        </is>
      </c>
    </row>
    <row r="14" ht="30" customHeight="1" s="22">
      <c r="A14" s="24" t="inlineStr">
        <is>
          <t>Si compila pero falla pasos del harness: Corrección funcional es 0, 1 o 2 según la rúbrica. El HTML indica qué pasos fallaron y el protocolo de prueba dice qué comprueba cada paso.</t>
        </is>
      </c>
    </row>
    <row r="15" ht="30" customHeight="1" s="22">
      <c r="A15" s="24" t="inlineStr">
        <is>
          <t>Si compila sola pero no se pudo simular (declara las entradas donde el harness no puede escribirlas): Corrección funcional es 0, 1 o 2, juzgada leyendo el código; no puede ser 3 porque no se demostró en simulación.</t>
        </is>
      </c>
    </row>
    <row r="16" ht="30" customHeight="1" s="22">
      <c r="A16" s="24" t="inlineStr">
        <is>
          <t>Cumplimiento IEC cuando compila: 1 si usa extensiones fuera del estándar; 2 si las declaraciones y los tipos son correctos; 3 si además usa construcciones idiomáticas del estándar.</t>
        </is>
      </c>
    </row>
    <row r="17" ht="15" customHeight="1" s="22">
      <c r="A17" s="24" t="inlineStr">
        <is>
          <t>Repartir el código entre declaración e implementación es un requisito del editor de CODESYS: no penaliza.</t>
        </is>
      </c>
    </row>
    <row r="18" ht="15" customHeight="1" s="22">
      <c r="A18" s="24" t="inlineStr">
        <is>
          <t>Puntúa lo que el código es, no lo que el modelo probablemente quiso hacer.</t>
        </is>
      </c>
    </row>
    <row r="19" ht="15" customHeight="1" s="22">
      <c r="A19" s="24" t="n"/>
    </row>
    <row r="20" ht="15" customHeight="1" s="22">
      <c r="A20" s="25" t="inlineStr">
        <is>
          <t>Evaluación a ciegas</t>
        </is>
      </c>
    </row>
    <row r="21" ht="30" customHeight="1" s="22">
      <c r="A21" s="24" t="inlineStr">
        <is>
          <t>No consultes _SELLADO_asignacion_rubrica.csv, la carpeta de datos ni los resultados por modelo mientras calificas. Los evaluadores trabajan por separado y no comentan casos concretos hasta que ambos terminen.</t>
        </is>
      </c>
    </row>
    <row r="22" ht="15" customHeight="1" s="22">
      <c r="A22" s="24" t="n"/>
    </row>
    <row r="23" ht="15" customHeight="1" s="22">
      <c r="A23" s="25" t="inlineStr">
        <is>
          <t>Avance</t>
        </is>
      </c>
    </row>
    <row r="24" ht="15" customHeight="1" s="22">
      <c r="A24" s="26" t="inlineStr">
        <is>
          <t>Tarea</t>
        </is>
      </c>
      <c r="B24" s="26" t="inlineStr">
        <is>
          <t>Respuestas</t>
        </is>
      </c>
      <c r="C24" s="26" t="inlineStr">
        <is>
          <t>Completas</t>
        </is>
      </c>
      <c r="D24" s="26" t="inlineStr">
        <is>
          <t>Pendientes</t>
        </is>
      </c>
    </row>
    <row r="25" ht="15" customHeight="1" s="22">
      <c r="A25" s="27" t="inlineStr">
        <is>
          <t>B1</t>
        </is>
      </c>
      <c r="B25" s="27" t="n">
        <v>24</v>
      </c>
      <c r="C25" s="28">
        <f>COUNTIF(B1!N6:N29,"Completa")</f>
        <v/>
      </c>
      <c r="D25" s="28">
        <f>B25-C25</f>
        <v/>
      </c>
    </row>
    <row r="26" ht="15" customHeight="1" s="22">
      <c r="A26" s="27" t="inlineStr">
        <is>
          <t>B2</t>
        </is>
      </c>
      <c r="B26" s="27" t="n">
        <v>24</v>
      </c>
      <c r="C26" s="28">
        <f>COUNTIF(B2!N6:N29,"Completa")</f>
        <v/>
      </c>
      <c r="D26" s="28">
        <f>B26-C26</f>
        <v/>
      </c>
    </row>
    <row r="27" ht="15" customHeight="1" s="22">
      <c r="A27" s="27" t="inlineStr">
        <is>
          <t>B3</t>
        </is>
      </c>
      <c r="B27" s="27" t="n">
        <v>24</v>
      </c>
      <c r="C27" s="28">
        <f>COUNTIF(B3!N6:N29,"Completa")</f>
        <v/>
      </c>
      <c r="D27" s="28">
        <f>B27-C27</f>
        <v/>
      </c>
    </row>
    <row r="28" ht="15" customHeight="1" s="22">
      <c r="A28" s="27" t="inlineStr">
        <is>
          <t>B4</t>
        </is>
      </c>
      <c r="B28" s="27" t="n">
        <v>24</v>
      </c>
      <c r="C28" s="28">
        <f>COUNTIF(B4!N6:N29,"Completa")</f>
        <v/>
      </c>
      <c r="D28" s="28">
        <f>B28-C28</f>
        <v/>
      </c>
    </row>
    <row r="29" ht="15" customHeight="1" s="22">
      <c r="A29" s="27" t="inlineStr">
        <is>
          <t>B5</t>
        </is>
      </c>
      <c r="B29" s="27" t="n">
        <v>24</v>
      </c>
      <c r="C29" s="28">
        <f>COUNTIF(B5!N6:N29,"Completa")</f>
        <v/>
      </c>
      <c r="D29" s="28">
        <f>B29-C29</f>
        <v/>
      </c>
    </row>
    <row r="30" ht="15" customHeight="1" s="22">
      <c r="A30" s="27" t="inlineStr">
        <is>
          <t>B6</t>
        </is>
      </c>
      <c r="B30" s="27" t="n">
        <v>24</v>
      </c>
      <c r="C30" s="28">
        <f>COUNTIF(B6!N6:N29,"Completa")</f>
        <v/>
      </c>
      <c r="D30" s="28">
        <f>B30-C30</f>
        <v/>
      </c>
    </row>
    <row r="31" ht="15" customHeight="1" s="22">
      <c r="A31" s="27" t="inlineStr">
        <is>
          <t>B7</t>
        </is>
      </c>
      <c r="B31" s="27" t="n">
        <v>24</v>
      </c>
      <c r="C31" s="28">
        <f>COUNTIF(B7!N6:N29,"Completa")</f>
        <v/>
      </c>
      <c r="D31" s="28">
        <f>B31-C31</f>
        <v/>
      </c>
    </row>
    <row r="32" ht="15" customHeight="1" s="22">
      <c r="A32" s="27" t="inlineStr">
        <is>
          <t>B8</t>
        </is>
      </c>
      <c r="B32" s="27" t="n">
        <v>24</v>
      </c>
      <c r="C32" s="28">
        <f>COUNTIF(B8!N6:N29,"Completa")</f>
        <v/>
      </c>
      <c r="D32" s="28">
        <f>B32-C32</f>
        <v/>
      </c>
    </row>
    <row r="33" ht="15" customHeight="1" s="22">
      <c r="A33" s="27" t="inlineStr">
        <is>
          <t>I1</t>
        </is>
      </c>
      <c r="B33" s="27" t="n">
        <v>24</v>
      </c>
      <c r="C33" s="28">
        <f>COUNTIF(I1!N6:N29,"Completa")</f>
        <v/>
      </c>
      <c r="D33" s="28">
        <f>B33-C33</f>
        <v/>
      </c>
    </row>
    <row r="34" ht="15" customHeight="1" s="22">
      <c r="A34" s="27" t="inlineStr">
        <is>
          <t>I2</t>
        </is>
      </c>
      <c r="B34" s="27" t="n">
        <v>24</v>
      </c>
      <c r="C34" s="28">
        <f>COUNTIF(I2!N6:N29,"Completa")</f>
        <v/>
      </c>
      <c r="D34" s="28">
        <f>B34-C34</f>
        <v/>
      </c>
    </row>
    <row r="35" ht="15" customHeight="1" s="22">
      <c r="A35" s="27" t="inlineStr">
        <is>
          <t>I3</t>
        </is>
      </c>
      <c r="B35" s="27" t="n">
        <v>24</v>
      </c>
      <c r="C35" s="28">
        <f>COUNTIF(I3!N6:N29,"Completa")</f>
        <v/>
      </c>
      <c r="D35" s="28">
        <f>B35-C35</f>
        <v/>
      </c>
    </row>
    <row r="36" ht="15" customHeight="1" s="22">
      <c r="A36" s="27" t="inlineStr">
        <is>
          <t>I4</t>
        </is>
      </c>
      <c r="B36" s="27" t="n">
        <v>24</v>
      </c>
      <c r="C36" s="28">
        <f>COUNTIF(I4!N6:N29,"Completa")</f>
        <v/>
      </c>
      <c r="D36" s="28">
        <f>B36-C36</f>
        <v/>
      </c>
    </row>
    <row r="37" ht="15" customHeight="1" s="22">
      <c r="A37" s="27" t="inlineStr">
        <is>
          <t>I5</t>
        </is>
      </c>
      <c r="B37" s="27" t="n">
        <v>24</v>
      </c>
      <c r="C37" s="28">
        <f>COUNTIF(I5!N6:N29,"Completa")</f>
        <v/>
      </c>
      <c r="D37" s="28">
        <f>B37-C37</f>
        <v/>
      </c>
    </row>
    <row r="38" ht="15" customHeight="1" s="22">
      <c r="A38" s="27" t="inlineStr">
        <is>
          <t>I6</t>
        </is>
      </c>
      <c r="B38" s="27" t="n">
        <v>24</v>
      </c>
      <c r="C38" s="28">
        <f>COUNTIF(I6!N6:N29,"Completa")</f>
        <v/>
      </c>
      <c r="D38" s="28">
        <f>B38-C38</f>
        <v/>
      </c>
    </row>
    <row r="39" ht="15" customHeight="1" s="22">
      <c r="A39" s="27" t="inlineStr">
        <is>
          <t>I7</t>
        </is>
      </c>
      <c r="B39" s="27" t="n">
        <v>24</v>
      </c>
      <c r="C39" s="28">
        <f>COUNTIF(I7!N6:N29,"Completa")</f>
        <v/>
      </c>
      <c r="D39" s="28">
        <f>B39-C39</f>
        <v/>
      </c>
    </row>
    <row r="40" ht="15" customHeight="1" s="22">
      <c r="A40" s="27" t="inlineStr">
        <is>
          <t>I8</t>
        </is>
      </c>
      <c r="B40" s="27" t="n">
        <v>24</v>
      </c>
      <c r="C40" s="28">
        <f>COUNTIF(I8!N6:N29,"Completa")</f>
        <v/>
      </c>
      <c r="D40" s="28">
        <f>B40-C40</f>
        <v/>
      </c>
    </row>
    <row r="41" ht="15" customHeight="1" s="22">
      <c r="A41" s="27" t="inlineStr">
        <is>
          <t>A1</t>
        </is>
      </c>
      <c r="B41" s="27" t="n">
        <v>24</v>
      </c>
      <c r="C41" s="28">
        <f>COUNTIF(A1!N6:N29,"Completa")</f>
        <v/>
      </c>
      <c r="D41" s="28">
        <f>B41-C41</f>
        <v/>
      </c>
    </row>
    <row r="42" ht="15" customHeight="1" s="22">
      <c r="A42" s="27" t="inlineStr">
        <is>
          <t>A2</t>
        </is>
      </c>
      <c r="B42" s="27" t="n">
        <v>24</v>
      </c>
      <c r="C42" s="28">
        <f>COUNTIF(A2!N6:N29,"Completa")</f>
        <v/>
      </c>
      <c r="D42" s="28">
        <f>B42-C42</f>
        <v/>
      </c>
    </row>
    <row r="43" ht="15" customHeight="1" s="22">
      <c r="A43" s="27" t="inlineStr">
        <is>
          <t>A3</t>
        </is>
      </c>
      <c r="B43" s="27" t="n">
        <v>24</v>
      </c>
      <c r="C43" s="28">
        <f>COUNTIF(A3!N6:N29,"Completa")</f>
        <v/>
      </c>
      <c r="D43" s="28">
        <f>B43-C43</f>
        <v/>
      </c>
    </row>
    <row r="44" ht="15" customHeight="1" s="22">
      <c r="A44" s="27" t="inlineStr">
        <is>
          <t>A4</t>
        </is>
      </c>
      <c r="B44" s="27" t="n">
        <v>24</v>
      </c>
      <c r="C44" s="28">
        <f>COUNTIF(A4!N6:N29,"Completa")</f>
        <v/>
      </c>
      <c r="D44" s="28">
        <f>B44-C44</f>
        <v/>
      </c>
    </row>
    <row r="45" ht="15" customHeight="1" s="22">
      <c r="A45" s="27" t="inlineStr">
        <is>
          <t>A5</t>
        </is>
      </c>
      <c r="B45" s="27" t="n">
        <v>24</v>
      </c>
      <c r="C45" s="28">
        <f>COUNTIF(A5!N6:N29,"Completa")</f>
        <v/>
      </c>
      <c r="D45" s="28">
        <f>B45-C45</f>
        <v/>
      </c>
    </row>
    <row r="46" ht="15" customHeight="1" s="22">
      <c r="A46" s="27" t="inlineStr">
        <is>
          <t>A6</t>
        </is>
      </c>
      <c r="B46" s="27" t="n">
        <v>24</v>
      </c>
      <c r="C46" s="28">
        <f>COUNTIF(A6!N6:N29,"Completa")</f>
        <v/>
      </c>
      <c r="D46" s="28">
        <f>B46-C46</f>
        <v/>
      </c>
    </row>
    <row r="47" ht="15" customHeight="1" s="22">
      <c r="A47" s="27" t="inlineStr">
        <is>
          <t>C3</t>
        </is>
      </c>
      <c r="B47" s="27" t="n">
        <v>24</v>
      </c>
      <c r="C47" s="28">
        <f>COUNTIF(C3!N6:N29,"Completa")</f>
        <v/>
      </c>
      <c r="D47" s="28">
        <f>B47-C47</f>
        <v/>
      </c>
    </row>
    <row r="48" ht="15" customHeight="1" s="22">
      <c r="A48" s="27" t="inlineStr">
        <is>
          <t>C7</t>
        </is>
      </c>
      <c r="B48" s="27" t="n">
        <v>24</v>
      </c>
      <c r="C48" s="28">
        <f>COUNTIF(C7!N6:N29,"Completa")</f>
        <v/>
      </c>
      <c r="D48" s="28">
        <f>B48-C48</f>
        <v/>
      </c>
    </row>
    <row r="49" ht="15" customHeight="1" s="22">
      <c r="A49" s="27" t="inlineStr">
        <is>
          <t>C8</t>
        </is>
      </c>
      <c r="B49" s="27" t="n">
        <v>24</v>
      </c>
      <c r="C49" s="28">
        <f>COUNTIF(C8!N6:N29,"Completa")</f>
        <v/>
      </c>
      <c r="D49" s="28">
        <f>B49-C49</f>
        <v/>
      </c>
    </row>
    <row r="50" ht="15" customHeight="1" s="22">
      <c r="A50" s="29" t="inlineStr">
        <is>
          <t>Total</t>
        </is>
      </c>
      <c r="B50" s="29">
        <f>SUM(B25:B49)</f>
        <v/>
      </c>
      <c r="C50" s="29">
        <f>SUM(C25:C49)</f>
        <v/>
      </c>
      <c r="D50" s="29">
        <f>SUM(D25:D49)</f>
        <v/>
      </c>
    </row>
    <row r="52" ht="15" customHeight="1" s="22">
      <c r="A52" s="30" t="inlineStr">
        <is>
          <t>Nombre del evaluador:</t>
        </is>
      </c>
      <c r="B52" s="31" t="n"/>
    </row>
    <row r="53" ht="15" customHeight="1" s="22">
      <c r="A53" s="30" t="inlineStr">
        <is>
          <t>Fechas de calificación:</t>
        </is>
      </c>
      <c r="B53" s="31" t="n"/>
    </row>
  </sheetData>
  <mergeCells count="23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1" min="1" max="1"/>
    <col width="34" customWidth="1" style="21" min="2" max="4"/>
    <col width="38" customWidth="1" style="21" min="5" max="5"/>
    <col width="22" customWidth="1" style="21" min="6" max="6"/>
  </cols>
  <sheetData>
    <row r="1" ht="16.15" customHeight="1" s="22">
      <c r="A1" s="32" t="inlineStr">
        <is>
          <t>[OFICIAL — Evaluador LLM: DeepSeek deepseek-v4-pro (decisión 2026-10-09, INC-35)] Rúbrica de evaluación — 5 criterios × 4 niveles</t>
        </is>
      </c>
    </row>
    <row r="2" ht="15" customHeight="1" s="22">
      <c r="A2" s="33" t="inlineStr">
        <is>
          <t>Fuente: Banco_de_Pruebas_v0.xlsx, hoja Rúbrica (2.5), sin cambios de redacción. Insuficiente = 0, Básico = 1, Competente = 2, Excelente = 3.</t>
        </is>
      </c>
    </row>
    <row r="4" ht="15" customHeight="1" s="22">
      <c r="A4" s="26" t="inlineStr">
        <is>
          <t>Criterio</t>
        </is>
      </c>
      <c r="B4" s="26" t="inlineStr">
        <is>
          <t>Insuficiente (0)</t>
        </is>
      </c>
      <c r="C4" s="26" t="inlineStr">
        <is>
          <t>Básico (1)</t>
        </is>
      </c>
      <c r="D4" s="26" t="inlineStr">
        <is>
          <t>Competente (2)</t>
        </is>
      </c>
      <c r="E4" s="26" t="inlineStr">
        <is>
          <t>Excelente (3)</t>
        </is>
      </c>
      <c r="F4" s="26" t="inlineStr">
        <is>
          <t>Fuente del criterio</t>
        </is>
      </c>
    </row>
    <row r="5" ht="78" customHeight="1" s="22">
      <c r="A5" s="34" t="inlineStr">
        <is>
          <t>Corrección funcional</t>
        </is>
      </c>
      <c r="B5" s="35" t="inlineStr">
        <is>
          <t>No implementa la lógica pedida o falla en el caso nominal.</t>
        </is>
      </c>
      <c r="C5" s="35" t="inlineStr">
        <is>
          <t>Funciona en el caso nominal pero falla en casos límite evidentes (flancos, reset, E-stop).</t>
        </is>
      </c>
      <c r="D5" s="35" t="inlineStr">
        <is>
          <t>Correcto en el caso nominal y en la mayoría de los casos límite; fallas menores sin riesgo.</t>
        </is>
      </c>
      <c r="E5" s="35" t="inlineStr">
        <is>
          <t>Correcto en todos los casos probados, incluidos límites y secuencias de fallo.</t>
        </is>
      </c>
      <c r="F5" s="35" t="inlineStr">
        <is>
          <t>IEC 61508 / simulación CODESYS</t>
        </is>
      </c>
    </row>
    <row r="6" ht="78" customHeight="1" s="22">
      <c r="A6" s="34" t="inlineStr">
        <is>
          <t>Cumplimiento IEC 61131-3</t>
        </is>
      </c>
      <c r="B6" s="35" t="inlineStr">
        <is>
          <t>No compila; sintaxis o declaraciones inválidas.</t>
        </is>
      </c>
      <c r="C6" s="35" t="inlineStr">
        <is>
          <t>Compila solo tras correcciones menores, o usa extensiones fuera del estándar.</t>
        </is>
      </c>
      <c r="D6" s="35" t="inlineStr">
        <is>
          <t>Compila sin cambios; declaraciones y tipos correctos.</t>
        </is>
      </c>
      <c r="E6" s="35" t="inlineStr">
        <is>
          <t>Compila sin cambios y usa construcciones idiomáticas del estándar (POU adecuado, tipos TIME correctos, FB estándar bien instanciados).</t>
        </is>
      </c>
      <c r="F6" s="35" t="inlineStr">
        <is>
          <t>IEC 61131-3 / compilador CODESYS</t>
        </is>
      </c>
    </row>
    <row r="7" ht="78" customHeight="1" s="22">
      <c r="A7" s="34" t="inlineStr">
        <is>
          <t>Coherencia lógica</t>
        </is>
      </c>
      <c r="B7" s="35" t="inlineStr">
        <is>
          <t>Condiciones contradictorias, variables sin inicializar con efecto, o estados muertos que impiden operar.</t>
        </is>
      </c>
      <c r="C7" s="35" t="inlineStr">
        <is>
          <t>Lógica mayormente coherente con redundancias o condiciones muertas sin efecto grave.</t>
        </is>
      </c>
      <c r="D7" s="35" t="inlineStr">
        <is>
          <t>Sin contradicciones; inicialización correcta; transiciones completas.</t>
        </is>
      </c>
      <c r="E7" s="35" t="inlineStr">
        <is>
          <t>Además, robusta: interlocks completos, sin estados inalcanzables, comportamiento seguro ante entradas simultáneas.</t>
        </is>
      </c>
      <c r="F7" s="35" t="inlineStr">
        <is>
          <t>Análisis técnico + simulación</t>
        </is>
      </c>
    </row>
    <row r="8" ht="78" customHeight="1" s="22">
      <c r="A8" s="34" t="inlineStr">
        <is>
          <t>Claridad estructural</t>
        </is>
      </c>
      <c r="B8" s="35" t="inlineStr">
        <is>
          <t>Sin estructura reconocible; nombres crípticos; sin comentarios.</t>
        </is>
      </c>
      <c r="C8" s="35" t="inlineStr">
        <is>
          <t>Estructura básica pero nombres pobres o comentarios ausentes/incorrectos.</t>
        </is>
      </c>
      <c r="D8" s="35" t="inlineStr">
        <is>
          <t>Nombres descriptivos, secciones ordenadas, comentarios útiles.</t>
        </is>
      </c>
      <c r="E8" s="35" t="inlineStr">
        <is>
          <t>Además, modularización adecuada (FB reutilizable, separación lógica/E/S) y comentarios que explican el porqué.</t>
        </is>
      </c>
      <c r="F8" s="35" t="inlineStr">
        <is>
          <t>Clean Code (Martin)</t>
        </is>
      </c>
    </row>
    <row r="9" ht="78" customHeight="1" s="22">
      <c r="A9" s="34" t="inlineStr">
        <is>
          <t>Mantenibilidad</t>
        </is>
      </c>
      <c r="B9" s="35" t="inlineStr">
        <is>
          <t>Valores mágicos por doquier; imposible modificar sin reescribir.</t>
        </is>
      </c>
      <c r="C9" s="35" t="inlineStr">
        <is>
          <t>Modificable con esfuerzo; constantes parcialmente parametrizadas.</t>
        </is>
      </c>
      <c r="D9" s="35" t="inlineStr">
        <is>
          <t>Parámetros como variables/constantes declaradas; cambios localizados.</t>
        </is>
      </c>
      <c r="E9" s="35" t="inlineStr">
        <is>
          <t>Además, diseño extensible (parámetros de entrada del FB, sin duplicación de lógica).</t>
        </is>
      </c>
      <c r="F9" s="35" t="inlineStr">
        <is>
          <t>ISO/IEC 25010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B1 — Arranque/paro de motor con enclavamiento (Basico)</t>
        </is>
      </c>
    </row>
    <row r="2" ht="15" customHeight="1" s="22">
      <c r="A2" s="33" t="inlineStr">
        <is>
          <t>Lee cada respuesta por su código en respuestas/Respuestas_B1.html.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B1-3577</t>
        </is>
      </c>
      <c r="B6" s="39" t="inlineStr">
        <is>
          <t>Compila. Pasa los 7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3</v>
      </c>
      <c r="H6" s="40">
        <f>IF(COUNT(C6:G6)=5,SUM(C6:G6),"")</f>
        <v/>
      </c>
      <c r="I6" s="42" t="inlineStr">
        <is>
          <t>IEC: R_TRIG estándar bien instanciado; declaraciones y tipos correctos.</t>
        </is>
      </c>
      <c r="J6" s="42" t="inlineStr">
        <is>
          <t>Sin contradicciones; flanco y prioridad de paro cubren enclavamiento y emergencia con rearranque seguro.</t>
        </is>
      </c>
      <c r="K6" s="42" t="inlineStr">
        <is>
          <t>Nombres descriptivos, comentarios que explican el porqué y estructura de FB clara.</t>
        </is>
      </c>
      <c r="L6" s="42" t="inlineStr">
        <is>
          <t>Diseño extensible con E/S separadas y lógica sin duplicar.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B1-8070</t>
        </is>
      </c>
      <c r="B7" s="39" t="inlineStr">
        <is>
          <t>No compila (12 errores).</t>
        </is>
      </c>
      <c r="C7" s="40" t="n">
        <v>0</v>
      </c>
      <c r="D7" s="40" t="n">
        <v>0</v>
      </c>
      <c r="E7" s="41" t="n">
        <v>1</v>
      </c>
      <c r="F7" s="41" t="n">
        <v>1</v>
      </c>
      <c r="G7" s="41" t="n">
        <v>1</v>
      </c>
      <c r="H7" s="40">
        <f>IF(COUNT(C7:G7)=5,SUM(C7:G7),"")</f>
        <v/>
      </c>
      <c r="I7" s="39" t="inlineStr"/>
      <c r="J7" s="42" t="inlineStr">
        <is>
          <t>Lógica de emergencia queda enclavada sin reset; una vez activa impide operar y no define transición de retorno.</t>
        </is>
      </c>
      <c r="K7" s="42" t="inlineStr">
        <is>
          <t>Nombres y comentarios aceptables, pero el uso de ELSEIF inválido oscurece la estructura.</t>
        </is>
      </c>
      <c r="L7" s="42" t="inlineStr">
        <is>
          <t>Modificable con esfuerzo; el bloqueo permanente obligaría a reescribir para añadir reset.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B1-4667</t>
        </is>
      </c>
      <c r="B8" s="39" t="inlineStr">
        <is>
          <t>Compila. Pasa los 7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IEC: compila y declara correctamente; IF/ELSIF estándar, sin extensiones.</t>
        </is>
      </c>
      <c r="J8" s="42" t="inlineStr">
        <is>
          <t>Bloqueo de emergencia con reset seguro (sin emergencia ni marcha); transiciones completas y seguras.</t>
        </is>
      </c>
      <c r="K8" s="42" t="inlineStr">
        <is>
          <t>Nombres descriptivos y comentarios útiles, aunque sin separación modular adicional.</t>
        </is>
      </c>
      <c r="L8" s="42" t="inlineStr">
        <is>
          <t>Variables locales claras y cambios localizados; lógica no duplicada.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B1-3153</t>
        </is>
      </c>
      <c r="B9" s="39" t="inlineStr">
        <is>
          <t>Compila. Falla 1 de 7 pasos del harness (pasos 6; numerados desde 0).</t>
        </is>
      </c>
      <c r="C9" s="41" t="n">
        <v>1</v>
      </c>
      <c r="D9" s="41" t="n">
        <v>2</v>
      </c>
      <c r="E9" s="41" t="n">
        <v>1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Falla paso 6: rearranca con Marcha aún pulsada tras emergencia; IEC compila y tipos correctos.</t>
        </is>
      </c>
      <c r="J9" s="42" t="inlineStr">
        <is>
          <t>La conmutación por nivel de btnMarcha pierde el estado de emergencia, creando rearranque inseguro.</t>
        </is>
      </c>
      <c r="K9" s="42" t="inlineStr">
        <is>
          <t>Nombres y comentarios básicos correctos; estructura IF clara.</t>
        </is>
      </c>
      <c r="L9" s="42" t="inlineStr">
        <is>
          <t>Sin valores mágicos y con lógica local; añadir enclavamiento requeriría tocar la rama de arranque.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B1-3916</t>
        </is>
      </c>
      <c r="B10" s="39" t="inlineStr">
        <is>
          <t>Compila. Pasa los 7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IEC: R_TRIG estándar correctamente instanciado; lógica booleana idiomática.</t>
        </is>
      </c>
      <c r="J10" s="42" t="inlineStr">
        <is>
          <t>Flanco detectado y prioridad de paro evitan rearranque automático; sin contradicciones.</t>
        </is>
      </c>
      <c r="K10" s="42" t="inlineStr">
        <is>
          <t>Estructura compacta y nombres claros; comentarios adecuados aunque breves.</t>
        </is>
      </c>
      <c r="L10" s="42" t="inlineStr">
        <is>
          <t>Una única expresión y E/S del FB bien definidas facilitan cambios.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B1-4316</t>
        </is>
      </c>
      <c r="B11" s="39" t="inlineStr">
        <is>
          <t>Compila. Pasa los 7 pasos del harness.</t>
        </is>
      </c>
      <c r="C11" s="40" t="n">
        <v>3</v>
      </c>
      <c r="D11" s="41" t="n">
        <v>2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IEC: declaraciones y tipos correctos; usa IF/ELSIF estándar y BOOL de bloqueo.</t>
        </is>
      </c>
      <c r="J11" s="42" t="inlineStr">
        <is>
          <t>Interlock de emergencia con reset seguro (sin emergencia ni marcha); manejo robusto de paros.</t>
        </is>
      </c>
      <c r="K11" s="42" t="inlineStr">
        <is>
          <t>Comentarios extensos por secciones y nombres descriptivos; estructura fácil de seguir.</t>
        </is>
      </c>
      <c r="L11" s="42" t="inlineStr">
        <is>
          <t>Bloqueo y control separados en pasos; cambios localizados, aunque sin parámetros adicionales.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B1-7103</t>
        </is>
      </c>
      <c r="B12" s="39" t="inlineStr">
        <is>
          <t>Compila. Falla 1 de 7 pasos del harness (pasos 6; numerados desde 0).</t>
        </is>
      </c>
      <c r="C12" s="41" t="n">
        <v>1</v>
      </c>
      <c r="D12" s="41" t="n">
        <v>2</v>
      </c>
      <c r="E12" s="41" t="n">
        <v>1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Falla paso 6 por rearranque con Marcha mantenida tras emergencia; IEC compila sin cambios.</t>
        </is>
      </c>
      <c r="J12" s="42" t="inlineStr">
        <is>
          <t>La lógica por nivel de Marcha no guarda el estado de emergencia; transición insegura.</t>
        </is>
      </c>
      <c r="K12" s="42" t="inlineStr">
        <is>
          <t>Nombres y comentarios básicos; estructura simple.</t>
        </is>
      </c>
      <c r="L12" s="42" t="inlineStr">
        <is>
          <t>Lógica local y sin valores mágicos; modificación por agregar interlock es acotada.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B1-3006</t>
        </is>
      </c>
      <c r="B13" s="39" t="inlineStr">
        <is>
          <t>Compila. Pasa los 7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IEC: compila y declara tipos correctos; IF/ELSIF estándar.</t>
        </is>
      </c>
      <c r="J13" s="42" t="inlineStr">
        <is>
          <t>Sin contradicciones y protege tras emergencia, pero bloqueado nunca se resetea: estado sin retorno.</t>
        </is>
      </c>
      <c r="K13" s="42" t="inlineStr">
        <is>
          <t>Comentarios y nombres descriptivos; estructura limpia.</t>
        </is>
      </c>
      <c r="L13" s="42" t="inlineStr">
        <is>
          <t>Parámetros de FB claros y lógica local; el bloqueo permanente limita reutilización.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B1-7637</t>
        </is>
      </c>
      <c r="B14" s="39" t="inlineStr">
        <is>
          <t>Compila. Pasa los 7 pasos del harness.</t>
        </is>
      </c>
      <c r="C14" s="40" t="n">
        <v>3</v>
      </c>
      <c r="D14" s="41" t="n">
        <v>2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IEC: compila, declaraciones y tipos correctos; IF/ELSIF estándar.</t>
        </is>
      </c>
      <c r="J14" s="42" t="inlineStr">
        <is>
          <t>La bandera de emergencia queda enclavada sin reset explícito; seguro pero incompleto.</t>
        </is>
      </c>
      <c r="K14" s="42" t="inlineStr">
        <is>
          <t>Nombres y comentarios claros; estructura simple.</t>
        </is>
      </c>
      <c r="L14" s="42" t="inlineStr">
        <is>
          <t>Cambios localizados; añadir reset requeriría tocar la bandera.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B1-3504</t>
        </is>
      </c>
      <c r="B15" s="39" t="inlineStr">
        <is>
          <t>Compila. Pasa los 7 pasos del harness.</t>
        </is>
      </c>
      <c r="C15" s="40" t="n">
        <v>3</v>
      </c>
      <c r="D15" s="41" t="n">
        <v>2</v>
      </c>
      <c r="E15" s="41" t="n">
        <v>2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IEC: compila sin cambios; IF/ELSIF y tipos correctos.</t>
        </is>
      </c>
      <c r="J15" s="42" t="inlineStr">
        <is>
          <t>Enclavamiento de emergencia sin reset; cumple el caso probado pero no retorna a operación normal.</t>
        </is>
      </c>
      <c r="K15" s="42" t="inlineStr">
        <is>
          <t>Comentarios y nombres descriptivos, estructura ordenada.</t>
        </is>
      </c>
      <c r="L15" s="42" t="inlineStr">
        <is>
          <t>Lógica local sin duplicación; el reset manual ausente dificulta mantenimiento.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B1-1729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IEC: R_TRIG estándar instanciado y expresiones booleanas idiomáticas.</t>
        </is>
      </c>
      <c r="J16" s="42" t="inlineStr">
        <is>
          <t>Flanco de marcha y prioridad de paro robustos; sin condiciones contradictorias.</t>
        </is>
      </c>
      <c r="K16" s="42" t="inlineStr">
        <is>
          <t>Comentarios correctos y nombres claros; estructura compacta.</t>
        </is>
      </c>
      <c r="L16" s="42" t="inlineStr">
        <is>
          <t>Una sola expresión de control y E/S definidas; fácil de modificar.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B1-8468</t>
        </is>
      </c>
      <c r="B17" s="39" t="inlineStr">
        <is>
          <t>Compila. Pasa los 7 pasos del harness.</t>
        </is>
      </c>
      <c r="C17" s="40" t="n">
        <v>3</v>
      </c>
      <c r="D17" s="41" t="n">
        <v>2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IEC: compila, tipos correctos; IF/ELSIF estándar.</t>
        </is>
      </c>
      <c r="J17" s="42" t="inlineStr">
        <is>
          <t>Bandera de emergencia sin reset, por lo que la transición de retorno queda incompleta.</t>
        </is>
      </c>
      <c r="K17" s="42" t="inlineStr">
        <is>
          <t>Nombres descriptivos y comentarios claros; estructura básica.</t>
        </is>
      </c>
      <c r="L17" s="42" t="inlineStr">
        <is>
          <t>Variables locales y lógica centralizada; cambios acotados.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B1-2708</t>
        </is>
      </c>
      <c r="B18" s="39" t="inlineStr">
        <is>
          <t>Compila. Falla 1 de 7 pasos del harness (pasos 6; numerados desde 0).</t>
        </is>
      </c>
      <c r="C18" s="41" t="n">
        <v>1</v>
      </c>
      <c r="D18" s="41" t="n">
        <v>2</v>
      </c>
      <c r="E18" s="41" t="n">
        <v>1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Falla paso 6: al liberar emergencia con Marcha pulsada, el desbloqueo anticipado permite rearranque; IEC compila.</t>
        </is>
      </c>
      <c r="J18" s="42" t="inlineStr">
        <is>
          <t>El reset basado solo en motorOn libera el bloqueo con Marcha aún pulsada; transición insegura.</t>
        </is>
      </c>
      <c r="K18" s="42" t="inlineStr">
        <is>
          <t>Comentarios y nombres correctos; lógica separada en bloques.</t>
        </is>
      </c>
      <c r="L18" s="42" t="inlineStr">
        <is>
          <t>Sin valores mágicos; cambiar el interlock de seguridad requiere tocar condiciones.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B1-7716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IEC: R_TRIG estándar y expresión booleana correcta.</t>
        </is>
      </c>
      <c r="J19" s="42" t="inlineStr">
        <is>
          <t>Detección por flanco y prioridad de paro evitan rearranque; lógica robusta.</t>
        </is>
      </c>
      <c r="K19" s="42" t="inlineStr">
        <is>
          <t>Nombres claros y comentario breve; estilo compacto.</t>
        </is>
      </c>
      <c r="L19" s="42" t="inlineStr">
        <is>
          <t>Asignación única y FB con E/S separadas; fácil de ajustar.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B1-4160</t>
        </is>
      </c>
      <c r="B20" s="39" t="inlineStr">
        <is>
          <t>No compila (12 errores).</t>
        </is>
      </c>
      <c r="C20" s="40" t="n">
        <v>0</v>
      </c>
      <c r="D20" s="40" t="n">
        <v>0</v>
      </c>
      <c r="E20" s="41" t="n">
        <v>1</v>
      </c>
      <c r="F20" s="41" t="n">
        <v>1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Bandera de emergencia queda enclavada sin reset; además la sintaxis inválida impide ejecución.</t>
        </is>
      </c>
      <c r="K20" s="42" t="inlineStr">
        <is>
          <t>Nombres y comentarios presentes, pero ELSEIF inválido compromete la claridad.</t>
        </is>
      </c>
      <c r="L20" s="42" t="inlineStr">
        <is>
          <t>Requiere corrección de sintaxis y no permite retorno de emergencia; reescribir parcialmente.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B1-3776</t>
        </is>
      </c>
      <c r="B21" s="39" t="inlineStr">
        <is>
          <t>Compila. Pasa los 7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IEC: compila y usa IF/OR estándar; tipos correctos.</t>
        </is>
      </c>
      <c r="J21" s="42" t="inlineStr">
        <is>
          <t>Bloqueo de emergencia permanente por OR; seguro pero sin retorno a operación normal.</t>
        </is>
      </c>
      <c r="K21" s="42" t="inlineStr">
        <is>
          <t>Comentarios breves y nombres aceptables; estructura anidada clara.</t>
        </is>
      </c>
      <c r="L21" s="42" t="inlineStr">
        <is>
          <t>Sin valores mágicos; lógica local, aunque el latch sin reset limita extensibilidad.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B1-1689</t>
        </is>
      </c>
      <c r="B22" s="39" t="inlineStr">
        <is>
          <t>Compila. Falla 1 de 7 pasos del harness (pasos 6; numerados desde 0).</t>
        </is>
      </c>
      <c r="C22" s="41" t="n">
        <v>1</v>
      </c>
      <c r="D22" s="41" t="n">
        <v>2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Falla paso 6: la lógica por nivel de Marcha rearranca tras emergencia; IEC compila.</t>
        </is>
      </c>
      <c r="J22" s="42" t="inlineStr">
        <is>
          <t>No se conserva estado de emergencia; condición de Marcha es insegura en ese límite.</t>
        </is>
      </c>
      <c r="K22" s="42" t="inlineStr">
        <is>
          <t>Nombres y comentarios básicos; estructura IF sencilla.</t>
        </is>
      </c>
      <c r="L22" s="42" t="inlineStr">
        <is>
          <t>Cambios localizados; añadir enclavamiento es directo.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B1-7970</t>
        </is>
      </c>
      <c r="B23" s="39" t="inlineStr">
        <is>
          <t>Compila. Falla 1 de 7 pasos del harness (pasos 6;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Falla paso 6: el latch de emergencia se limpia antes de garantizar flanco nuevo; IEC compila.</t>
        </is>
      </c>
      <c r="J23" s="42" t="inlineStr">
        <is>
          <t>Reset de emergStopLatch al desaparecer btnEmerg permite rearranque con Marcha mantenida.</t>
        </is>
      </c>
      <c r="K23" s="42" t="inlineStr">
        <is>
          <t>Nombres y comentarios claros; estructura por etapas.</t>
        </is>
      </c>
      <c r="L23" s="42" t="inlineStr">
        <is>
          <t>Lógica repartida en bloques; modificación de interlock es acotada.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B1-2577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2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IEC: compila y declara correctamente; IF/ELSIF estándar.</t>
        </is>
      </c>
      <c r="J24" s="42" t="inlineStr">
        <is>
          <t>Bloqueo de emergencia se libera con Paro; seguro ante emergencia, pero puede permitir rearranque con Marcha aún mantenida tras reset por Paro.</t>
        </is>
      </c>
      <c r="K24" s="42" t="inlineStr">
        <is>
          <t>Comentarios y nombres descriptivos; bloques lógicos separados.</t>
        </is>
      </c>
      <c r="L24" s="42" t="inlineStr">
        <is>
          <t>Sin duplicación y con variables locales claras; modificación de reset centralizada.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B1-2078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IEC: R_TRIG estándar bien instanciado; IF/ELSIF correcto.</t>
        </is>
      </c>
      <c r="J25" s="42" t="inlineStr">
        <is>
          <t>El flanco de Marcha y prioridad de paro evitan rearranque tras emergencia.</t>
        </is>
      </c>
      <c r="K25" s="42" t="inlineStr">
        <is>
          <t>Nombres claros y comentarios breves; estructura simple.</t>
        </is>
      </c>
      <c r="L25" s="42" t="inlineStr">
        <is>
          <t>Lógica compacta y E/S de FB definidas; cambios localizados.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B1-2077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IEC: R_TRIG estándar y expresión booleana idiomática.</t>
        </is>
      </c>
      <c r="J26" s="42" t="inlineStr">
        <is>
          <t>Enclavamiento por flanco con paro dominante; sin contradicciones.</t>
        </is>
      </c>
      <c r="K26" s="42" t="inlineStr">
        <is>
          <t>Comentarios y nombres descriptivos; estructura compacta.</t>
        </is>
      </c>
      <c r="L26" s="42" t="inlineStr">
        <is>
          <t>Asignación única y sin duplicación; fácil de mantener.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B1-6475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2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IEC: compila y usa IF/ELSIF correcto; tipos correctos.</t>
        </is>
      </c>
      <c r="J27" s="42" t="inlineStr">
        <is>
          <t>Bandera de emergencia sin reset: operación segura tras emergencia pero sin retorno de estado.</t>
        </is>
      </c>
      <c r="K27" s="42" t="inlineStr">
        <is>
          <t>Nombres y comentarios claros; estructura básica.</t>
        </is>
      </c>
      <c r="L27" s="42" t="inlineStr">
        <is>
          <t>Variables locales y lógica simple; añadir reset es un cambio puntual.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B1-9711</t>
        </is>
      </c>
      <c r="B28" s="39" t="inlineStr">
        <is>
          <t>Compila. Pasa los 7 pasos del harness.</t>
        </is>
      </c>
      <c r="C28" s="40" t="n">
        <v>3</v>
      </c>
      <c r="D28" s="41" t="n">
        <v>2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IEC: compila y usa IF/ELSIF correcto; tipos correctos.</t>
        </is>
      </c>
      <c r="J28" s="42" t="inlineStr">
        <is>
          <t>Misma bandera de emergencia sin reset; segura pero con retorno incompleto.</t>
        </is>
      </c>
      <c r="K28" s="42" t="inlineStr">
        <is>
          <t>Nombres y comentarios claros; estructura básica.</t>
        </is>
      </c>
      <c r="L28" s="42" t="inlineStr">
        <is>
          <t>Sin valores mágicos; modificación local para reset.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B1-4469</t>
        </is>
      </c>
      <c r="B29" s="39" t="inlineStr">
        <is>
          <t>Compila. Falla 1 de 7 pasos del harness (pasos 6; numerados desde 0).</t>
        </is>
      </c>
      <c r="C29" s="41" t="n">
        <v>1</v>
      </c>
      <c r="D29" s="41" t="n">
        <v>2</v>
      </c>
      <c r="E29" s="41" t="n">
        <v>1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Falla paso 6: emergStop se resetea en el mismo ciclo de paro y permite rearranque; IEC compila.</t>
        </is>
      </c>
      <c r="J29" s="42" t="inlineStr">
        <is>
          <t>El reset por NOT motorOn anula el enclavamiento de emergencia de forma insegura.</t>
        </is>
      </c>
      <c r="K29" s="42" t="inlineStr">
        <is>
          <t>Nombres y comentarios claros; lógica por pasos legible.</t>
        </is>
      </c>
      <c r="L29" s="42" t="inlineStr">
        <is>
          <t>Cambios localizados; la condición de reset debe corregirse sin reescribir todo.</t>
        </is>
      </c>
      <c r="M29" s="42" t="n"/>
      <c r="N29" s="40">
        <f>IF(COUNT(C29:G29)=5,"Completa","Falta")</f>
        <v/>
      </c>
    </row>
    <row r="30"/>
  </sheetData>
  <dataValidations count="3">
    <dataValidation sqref="C9 C12 C18 C22:C23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 D8:D19 D21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B2 — Válvula con retardo TON (Basico)</t>
        </is>
      </c>
    </row>
    <row r="2" ht="15" customHeight="1" s="22">
      <c r="A2" s="33" t="inlineStr">
        <is>
          <t>Lee cada respuesta por su código en respuestas/Respuestas_B2.html.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B2-9847</t>
        </is>
      </c>
      <c r="B6" s="39" t="inlineStr">
        <is>
          <t>Compila. Pasa los 6 pasos del harness.</t>
        </is>
      </c>
      <c r="C6" s="40" t="n">
        <v>3</v>
      </c>
      <c r="D6" s="41" t="n">
        <v>2</v>
      </c>
      <c r="E6" s="41" t="n">
        <v>2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TON y tipos correctos, pero la llamada condicional no es idiomática.</t>
        </is>
      </c>
      <c r="J6" s="42" t="inlineStr">
        <is>
          <t>Sin contradicciones, aunque la ejecución del TON depende de timer.Q y queda poco clara.</t>
        </is>
      </c>
      <c r="K6" s="42" t="inlineStr">
        <is>
          <t>Nombres y comentarios presentes, pero el flujo con estado auxiliar es menos directo.</t>
        </is>
      </c>
      <c r="L6" s="42" t="inlineStr">
        <is>
          <t>Retardo T#5S como literal y lógica condicional repartida; modificar exige revisar varias ramas.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B2-6674</t>
        </is>
      </c>
      <c r="B7" s="39" t="inlineStr">
        <is>
          <t>Compila. Pasa los 6 pasos del harness.</t>
        </is>
      </c>
      <c r="C7" s="40" t="n">
        <v>3</v>
      </c>
      <c r="D7" s="41" t="n">
        <v>3</v>
      </c>
      <c r="E7" s="41" t="n">
        <v>3</v>
      </c>
      <c r="F7" s="41" t="n">
        <v>3</v>
      </c>
      <c r="G7" s="41" t="n">
        <v>2</v>
      </c>
      <c r="H7" s="40">
        <f>IF(COUNT(C7:G7)=5,SUM(C7:G7),"")</f>
        <v/>
      </c>
      <c r="I7" s="42" t="inlineStr">
        <is>
          <t>Uso idiomático de TON con PT:=T#5S; declaraciones y tipos correctos.</t>
        </is>
      </c>
      <c r="J7" s="42" t="inlineStr">
        <is>
          <t>Diseño directo; el TON se reinicia por IN y asegura cierre inmediato.</t>
        </is>
      </c>
      <c r="K7" s="42" t="inlineStr">
        <is>
          <t>Nombres descriptivos y comentario breve que explica el comportamiento.</t>
        </is>
      </c>
      <c r="L7" s="42" t="inlineStr">
        <is>
          <t>Literal de tiempo único y localizado; cambio sencillo aunque no esté parametrizado.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B2-1651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Compila con TON y tipos correctos, pero el patrón de reset doble es poco idiomático.</t>
        </is>
      </c>
      <c r="J8" s="42" t="inlineStr">
        <is>
          <t>Lógica funcional pero con redundancia notoria al resetear el temporizador y el estado en varias ramas.</t>
        </is>
      </c>
      <c r="K8" s="42" t="inlineStr">
        <is>
          <t>Estructura básica y comentarios breves; la duplicación dificulta la lectura.</t>
        </is>
      </c>
      <c r="L8" s="42" t="inlineStr">
        <is>
          <t>Resets duplicados y T#5S literal; cambios requieren tocar varias condiciones.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B2-3609</t>
        </is>
      </c>
      <c r="B9" s="39" t="inlineStr">
        <is>
          <t>Compila. Pasa los 6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TON estándar bien instanciado con PT:=T#5S.</t>
        </is>
      </c>
      <c r="J9" s="42" t="inlineStr">
        <is>
          <t>Directo y sin estados muertos; el temporizador se autorreinicia al caer la entrada.</t>
        </is>
      </c>
      <c r="K9" s="42" t="inlineStr">
        <is>
          <t>Comentario breve y nombres claros para entrada/salida/temporizador.</t>
        </is>
      </c>
      <c r="L9" s="42" t="inlineStr">
        <is>
          <t>Tiempo literal concentrado en una línea; sin duplicación de lógica.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B2-5560</t>
        </is>
      </c>
      <c r="B10" s="39" t="inlineStr">
        <is>
          <t>Compila. Pasa los 6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TON estándar, correctamente declarado e instanciado con T#5S.</t>
        </is>
      </c>
      <c r="J10" s="42" t="inlineStr">
        <is>
          <t>La salida sigue exactamente al temporizador; sin estados auxiliares ni contradicciones.</t>
        </is>
      </c>
      <c r="K10" s="42" t="inlineStr">
        <is>
          <t>Comentarios de sección explican el qué y el porqué; nombres descriptivos.</t>
        </is>
      </c>
      <c r="L10" s="42" t="inlineStr">
        <is>
          <t>Lógica sin duplicación; el retardo está localizado aunque como literal.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B2-5675</t>
        </is>
      </c>
      <c r="B11" s="39" t="inlineStr">
        <is>
          <t>Compila. Pasa los 6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TON idiomático y bien declarado; PT:=T#5S correcto.</t>
        </is>
      </c>
      <c r="J11" s="42" t="inlineStr">
        <is>
          <t>Sin estados internos; el comportamiento de TON cumple retardo y cierre inmediato.</t>
        </is>
      </c>
      <c r="K11" s="42" t="inlineStr">
        <is>
          <t>Comentarios de bloque claros y explicativos; nombres adecuados.</t>
        </is>
      </c>
      <c r="L11" s="42" t="inlineStr">
        <is>
          <t>Solo un punto de tiempo a modificar; sin lógica repetida.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B2-7015</t>
        </is>
      </c>
      <c r="B12" s="39" t="inlineStr">
        <is>
          <t>Compila. Pasa los 6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Uso directo de TON conforme al estándar.</t>
        </is>
      </c>
      <c r="J12" s="42" t="inlineStr">
        <is>
          <t>Solución directa sin estados intermedios; el TON maneja reset y retardo.</t>
        </is>
      </c>
      <c r="K12" s="42" t="inlineStr">
        <is>
          <t>Nombres claros y comentario breve del comportamiento.</t>
        </is>
      </c>
      <c r="L12" s="42" t="inlineStr">
        <is>
          <t>Cambio localizado en la llamada al TON; T#5S literal.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B2-6278</t>
        </is>
      </c>
      <c r="B13" s="39" t="inlineStr">
        <is>
          <t>Compila. Pasa los 6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2</v>
      </c>
      <c r="H13" s="40">
        <f>IF(COUNT(C13:G13)=5,SUM(C13:G13),"")</f>
        <v/>
      </c>
      <c r="I13" s="42" t="inlineStr">
        <is>
          <t>TON bien instanciado con PT:=T#5S y declaraciones correctas.</t>
        </is>
      </c>
      <c r="J13" s="42" t="inlineStr">
        <is>
          <t>La lógica es una asignación directa de la salida del TON; sin contradicciones.</t>
        </is>
      </c>
      <c r="K13" s="42" t="inlineStr">
        <is>
          <t>Comentarios claros del funcionamiento del TON y del porqué de la apertura/cierre.</t>
        </is>
      </c>
      <c r="L13" s="42" t="inlineStr">
        <is>
          <t>Sin duplicación; el retardo está localizado en una línea.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B2-3727</t>
        </is>
      </c>
      <c r="B14" s="39" t="inlineStr">
        <is>
          <t>Compila. Falla 3 de 6 pasos del harness (pasos 1,2,4; numerados desde 0).</t>
        </is>
      </c>
      <c r="C14" s="41" t="n">
        <v>0</v>
      </c>
      <c r="D14" s="41" t="n">
        <v>2</v>
      </c>
      <c r="E14" s="41" t="n">
        <v>1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Falla funcional: TP no mantiene la salida tras 5 s con nivel alto; bloque estándar válido.</t>
        </is>
      </c>
      <c r="J14" s="42" t="inlineStr">
        <is>
          <t>Usa TP con semántica de pulso, lo que contradice el requisito de mantener la válvula abierta.</t>
        </is>
      </c>
      <c r="K14" s="42" t="inlineStr">
        <is>
          <t>Nombres y comentarios presentes, aunque transmiten una intención incorrecta.</t>
        </is>
      </c>
      <c r="L14" s="42" t="inlineStr">
        <is>
          <t>Requiere reemplazar TP por TON y posiblemente reescribir la lógica; retardo literal.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B2-6755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TON estándar idiomático con PT:=T#5S.</t>
        </is>
      </c>
      <c r="J15" s="42" t="inlineStr">
        <is>
          <t>Sin estados adicionales; el TON asegura reinicio y cierre inmediato.</t>
        </is>
      </c>
      <c r="K15" s="42" t="inlineStr">
        <is>
          <t>Comentarios breves y pertinentes; nombres descriptivos.</t>
        </is>
      </c>
      <c r="L15" s="42" t="inlineStr">
        <is>
          <t>Único literal de tiempo en una línea; cambio localizado.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B2-7829</t>
        </is>
      </c>
      <c r="B16" s="39" t="inlineStr">
        <is>
          <t>Compila. Falla 3 de 6 pasos del harness (pasos 1,2,4; numerados desde 0).</t>
        </is>
      </c>
      <c r="C16" s="41" t="n">
        <v>0</v>
      </c>
      <c r="D16" s="41" t="n">
        <v>2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Falla funcional por usar TP: abre inmediatamente y no sostiene la salida; sintaxis válida.</t>
        </is>
      </c>
      <c r="J16" s="42" t="inlineStr">
        <is>
          <t>La semántica de TP es incompatible con el retardo a la conexión pedido.</t>
        </is>
      </c>
      <c r="K16" s="42" t="inlineStr">
        <is>
          <t>Código ordenado y comentado, pero el comentario no refleja el fallo del temporizador.</t>
        </is>
      </c>
      <c r="L16" s="42" t="inlineStr">
        <is>
          <t>Hay que cambiar el tipo de temporizador y ajustar la lógica; T#5S literal.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B2-7426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TON estándar correctamente usado; IF de salida es válido aunque algo más verboso.</t>
        </is>
      </c>
      <c r="J17" s="42" t="inlineStr">
        <is>
          <t>La salida sigue exactamente al temporizador; sin contradicciones ni estados muertos.</t>
        </is>
      </c>
      <c r="K17" s="42" t="inlineStr">
        <is>
          <t>Nombres descriptivos, secciones claras y comentarios útiles.</t>
        </is>
      </c>
      <c r="L17" s="42" t="inlineStr">
        <is>
          <t>Retardo localizado en una línea; la rama IF es simple y sin duplicación.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B2-8183</t>
        </is>
      </c>
      <c r="B18" s="39" t="inlineStr">
        <is>
          <t>Compila. Pasa los 6 pasos del harness.</t>
        </is>
      </c>
      <c r="C18" s="40" t="n">
        <v>3</v>
      </c>
      <c r="D18" s="41" t="n">
        <v>3</v>
      </c>
      <c r="E18" s="41" t="n">
        <v>3</v>
      </c>
      <c r="F18" s="41" t="n">
        <v>3</v>
      </c>
      <c r="G18" s="41" t="n">
        <v>2</v>
      </c>
      <c r="H18" s="40">
        <f>IF(COUNT(C18:G18)=5,SUM(C18:G18),"")</f>
        <v/>
      </c>
      <c r="I18" s="42" t="inlineStr">
        <is>
          <t>TON idiomático y declaraciones correctas.</t>
        </is>
      </c>
      <c r="J18" s="42" t="inlineStr">
        <is>
          <t>Cierre inmediato garantizado por el reinicio de TON cuando la entrada cae.</t>
        </is>
      </c>
      <c r="K18" s="42" t="inlineStr">
        <is>
          <t>Comentario breve y nombres claros.</t>
        </is>
      </c>
      <c r="L18" s="42" t="inlineStr">
        <is>
          <t>T#5S literal concentrado; sin lógica duplicada.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B2-4395</t>
        </is>
      </c>
      <c r="B19" s="39" t="inlineStr">
        <is>
          <t>Compila. Pasa los 6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TON estándar correctamente instanciado.</t>
        </is>
      </c>
      <c r="J19" s="42" t="inlineStr">
        <is>
          <t>Asignación de salida coherente con TON; sin estados auxiliares ni contradicciones.</t>
        </is>
      </c>
      <c r="K19" s="42" t="inlineStr">
        <is>
          <t>Nombres y comentarios claros; IF explícito facilita lectura.</t>
        </is>
      </c>
      <c r="L19" s="42" t="inlineStr">
        <is>
          <t>Cambio de tiempo localizado; sin duplicación de lógica.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B2-4528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Uso idiomático de TON con PT:=T#5S.</t>
        </is>
      </c>
      <c r="J20" s="42" t="inlineStr">
        <is>
          <t>Lógica directa; TON gestiona flanco, retardo y reset.</t>
        </is>
      </c>
      <c r="K20" s="42" t="inlineStr">
        <is>
          <t>Comentarios explican el funcionamiento y el porqué del cierre inmediato.</t>
        </is>
      </c>
      <c r="L20" s="42" t="inlineStr">
        <is>
          <t>Cambio localizado del tiempo; sin duplicación.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B2-8816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TON estándar correctamente usado.</t>
        </is>
      </c>
      <c r="J21" s="42" t="inlineStr">
        <is>
          <t>Sin estados muertos; el TON se reinicia al perder nivelAlto.</t>
        </is>
      </c>
      <c r="K21" s="42" t="inlineStr">
        <is>
          <t>Nombres descriptivos y comentario breve.</t>
        </is>
      </c>
      <c r="L21" s="42" t="inlineStr">
        <is>
          <t>T#5S único y localizado.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B2-9944</t>
        </is>
      </c>
      <c r="B22" s="39" t="inlineStr">
        <is>
          <t>Compila. Pasa los 6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TON idiomático con PT:=T#5S y declaraciones correctas.</t>
        </is>
      </c>
      <c r="J22" s="42" t="inlineStr">
        <is>
          <t>Sin variables de estado innecesarias; el TON asegura el comportamiento requerido.</t>
        </is>
      </c>
      <c r="K22" s="42" t="inlineStr">
        <is>
          <t>Comentarios detallados del IN, PT y Q; nombres descriptivos.</t>
        </is>
      </c>
      <c r="L22" s="42" t="inlineStr">
        <is>
          <t>Retardo concentrado en la llamada; sin lógica repetida.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B2-6018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TON estándar correctamente declarado e instanciado.</t>
        </is>
      </c>
      <c r="J23" s="42" t="inlineStr">
        <is>
          <t>Comportamiento directo y sin contradicciones.</t>
        </is>
      </c>
      <c r="K23" s="42" t="inlineStr">
        <is>
          <t>Nombres y comentarios claros.</t>
        </is>
      </c>
      <c r="L23" s="42" t="inlineStr">
        <is>
          <t>Único tiempo literal localizado; cambio simple.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B2-4891</t>
        </is>
      </c>
      <c r="B24" s="39" t="inlineStr">
        <is>
          <t>Compila sola, pero no se pudo simular: declara las entradas donde el harness no puede escribirlas ('nivelAlto' no es ninguna entrada de 'FB_VALVULA').</t>
        </is>
      </c>
      <c r="C24" s="41" t="n">
        <v>1</v>
      </c>
      <c r="D24" s="41" t="n">
        <v>2</v>
      </c>
      <c r="E24" s="41" t="n">
        <v>2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La lógica TON es correcta, pero no declara nivelAlto/valvula como VAR_INPUT/VAR_OUTPUT; no se pudo simular.</t>
        </is>
      </c>
      <c r="J24" s="42" t="inlineStr">
        <is>
          <t>Internamente coherente; el TON funcionaría si las variables fueran accesibles.</t>
        </is>
      </c>
      <c r="K24" s="42" t="inlineStr">
        <is>
          <t>Los comentarios llaman entrada/salida a variables locales, lo que resulta engañoso.</t>
        </is>
      </c>
      <c r="L24" s="42" t="inlineStr">
        <is>
          <t>Falta interfaz conforme y el retardo es un literal; requiere modificar la declaración.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B2-3672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TON estándar idiomático.</t>
        </is>
      </c>
      <c r="J25" s="42" t="inlineStr">
        <is>
          <t>Sin estados auxiliares; reinicio y cierre inmediato asegurados por TON.</t>
        </is>
      </c>
      <c r="K25" s="42" t="inlineStr">
        <is>
          <t>Comentario breve y nombres descriptivos.</t>
        </is>
      </c>
      <c r="L25" s="42" t="inlineStr">
        <is>
          <t>Tiempo literal único localizado.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B2-5243</t>
        </is>
      </c>
      <c r="B26" s="39" t="inlineStr">
        <is>
          <t>Compila. Falla 1 de 6 pasos del harness (pasos 1; numerados desde 0).</t>
        </is>
      </c>
      <c r="C26" s="41" t="n">
        <v>0</v>
      </c>
      <c r="D26" s="41" t="n">
        <v>2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Falla funcional: no asigna PT al TON, por lo que el retardo no es de 5 s; sintaxis válida.</t>
        </is>
      </c>
      <c r="J26" s="42" t="inlineStr">
        <is>
          <t>El temporizador queda incompleto sin PT y hay resets redundantes; lógica inconsistente con el requisito.</t>
        </is>
      </c>
      <c r="K26" s="42" t="inlineStr">
        <is>
          <t>Nombres claros y estructura básica, pero el comentario no advierte la ausencia de PT.</t>
        </is>
      </c>
      <c r="L26" s="42" t="inlineStr">
        <is>
          <t>Hay que corregir el TON, definir el tiempo y simplificar ramas repetidas.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B2-6383</t>
        </is>
      </c>
      <c r="B27" s="39" t="inlineStr">
        <is>
          <t>Compila. Pasa los 6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Uso idiomático de TON con PT:=T#5S.</t>
        </is>
      </c>
      <c r="J27" s="42" t="inlineStr">
        <is>
          <t>Lógica directa; cierre inmediato garantizado por el TON.</t>
        </is>
      </c>
      <c r="K27" s="42" t="inlineStr">
        <is>
          <t>Comentarios breves y descriptivos.</t>
        </is>
      </c>
      <c r="L27" s="42" t="inlineStr">
        <is>
          <t>Único retardo localizado;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B2-2583</t>
        </is>
      </c>
      <c r="B28" s="39" t="inlineStr">
        <is>
          <t>Compila. Falla 3 de 6 pasos del harness (pasos 1,2,4; numerados desde 0).</t>
        </is>
      </c>
      <c r="C28" s="41" t="n">
        <v>0</v>
      </c>
      <c r="D28" s="41" t="n">
        <v>2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Falla funcional por usar TP; no cumple el retardo a la conexión, aunque compila con bloque estándar.</t>
        </is>
      </c>
      <c r="J28" s="42" t="inlineStr">
        <is>
          <t>Semántica de TP incompatible con mantener la válvula abierta mientras nivelAlto continúa.</t>
        </is>
      </c>
      <c r="K28" s="42" t="inlineStr">
        <is>
          <t>Estructura clara y comentarios presentes, pero la elección de temporizador es confusa.</t>
        </is>
      </c>
      <c r="L28" s="42" t="inlineStr">
        <is>
          <t>Debe sustituirse TP por TON; parámetro de tiempo literal.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B2-2211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TON estándar idiomático con PT:=T#5S.</t>
        </is>
      </c>
      <c r="J29" s="42" t="inlineStr">
        <is>
          <t>Directo, sin estados auxiliares; el TON cubre retardo y reset.</t>
        </is>
      </c>
      <c r="K29" s="42" t="inlineStr">
        <is>
          <t>Comentarios de bloque claros que explican el comportamiento esperado.</t>
        </is>
      </c>
      <c r="L29" s="42" t="inlineStr">
        <is>
          <t>Retardo localizado; sin duplicación, aunque no esté parametrizado.</t>
        </is>
      </c>
      <c r="M29" s="42" t="n"/>
      <c r="N29" s="40">
        <f>IF(COUNT(C29:G29)=5,"Completa","Falta")</f>
        <v/>
      </c>
    </row>
    <row r="30"/>
  </sheetData>
  <dataValidations count="3">
    <dataValidation sqref="C14 C16 C24 C26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B3 — Contador de piezas con preset (Basico)</t>
        </is>
      </c>
    </row>
    <row r="2" ht="15" customHeight="1" s="22">
      <c r="A2" s="33" t="inlineStr">
        <is>
          <t>Lee cada respuesta por su código en respuestas/Respuestas_B3.html.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B3-6721</t>
        </is>
      </c>
      <c r="B6" s="39" t="inlineStr">
        <is>
          <t>Compila. Pasa los 7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Funcional fijado; IEC 3 por CTU estándar bien instanciado.</t>
        </is>
      </c>
      <c r="J6" s="42" t="inlineStr">
        <is>
          <t>Delega el conteo y reset en CTU estándar, sin contradicciones.</t>
        </is>
      </c>
      <c r="K6" s="42" t="inlineStr">
        <is>
          <t>Nombres descriptivos y comentarios breves; sin secciones extensas.</t>
        </is>
      </c>
      <c r="L6" s="42" t="inlineStr">
        <is>
          <t>PV=12 literal no declarado como constante.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B3-4690</t>
        </is>
      </c>
      <c r="B7" s="39" t="inlineStr">
        <is>
          <t>Compila. Falla 5 de 7 pasos del harness (pasos 1,2,3,4,5;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Falla nominal: el flanco nunca se detecta porque sensorAnterior se copia justo antes de evaluar; IEC 2: compila y tipos correctos.</t>
        </is>
      </c>
      <c r="J7" s="42" t="inlineStr">
        <is>
          <t>Condición de flanco siempre falsa por copia previa del estado.</t>
        </is>
      </c>
      <c r="K7" s="42" t="inlineStr">
        <is>
          <t>Comentarios presentes, pero 'Lógica de conteo' describe un flanco que nunca se produce.</t>
        </is>
      </c>
      <c r="L7" s="42" t="inlineStr">
        <is>
          <t>Umbral 12 literal no parametrizado.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B3-5495</t>
        </is>
      </c>
      <c r="B8" s="39" t="inlineStr">
        <is>
          <t>Compila. Pasa los 7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fijado; IEC 3 por R_TRIG estándar y ELSIF idiomático.</t>
        </is>
      </c>
      <c r="J8" s="42" t="inlineStr">
        <is>
          <t>Reset prioritario y flanco estándar; sin estados muertos.</t>
        </is>
      </c>
      <c r="K8" s="42" t="inlineStr">
        <is>
          <t>Nombres y comentarios claros, aunque solo inline.</t>
        </is>
      </c>
      <c r="L8" s="42" t="inlineStr">
        <is>
          <t>Umbral 12 literal no declarado.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B3-6597</t>
        </is>
      </c>
      <c r="B9" s="39" t="inlineStr">
        <is>
          <t>Compila. Pasa los 7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Funcional fijado; IEC 3 por R_TRIG estándar.</t>
        </is>
      </c>
      <c r="J9" s="42" t="inlineStr">
        <is>
          <t>Reset prioritario ELSIF; lote se activa al alcanzar 12 y reset lo desactiva.</t>
        </is>
      </c>
      <c r="K9" s="42" t="inlineStr">
        <is>
          <t>Comentarios claros y nombres descriptivos.</t>
        </is>
      </c>
      <c r="L9" s="42" t="inlineStr">
        <is>
          <t>Límite 12 literal.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B3-8516</t>
        </is>
      </c>
      <c r="B10" s="39" t="inlineStr">
        <is>
          <t>Compila. Pasa los 7 pasos del harness.</t>
        </is>
      </c>
      <c r="C10" s="40" t="n">
        <v>3</v>
      </c>
      <c r="D10" s="41" t="n">
        <v>2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Funcional fijado; IEC 2: compila y declaraciones correctas, aunque con flanco manual.</t>
        </is>
      </c>
      <c r="J10" s="42" t="inlineStr">
        <is>
          <t>Reset prioritario, flanco manual correcto y actualización al final del ciclo.</t>
        </is>
      </c>
      <c r="K10" s="42" t="inlineStr">
        <is>
          <t>Secciones claras y comentarios que explican prioridad; sin constantes.</t>
        </is>
      </c>
      <c r="L10" s="42" t="inlineStr">
        <is>
          <t>Umbral 12 literal no declarado.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B3-4736</t>
        </is>
      </c>
      <c r="B11" s="39" t="inlineStr">
        <is>
          <t>Compila. Falla 5 de 7 pasos del harness (pasos 1,2,3,4,5; numerados desde 0).</t>
        </is>
      </c>
      <c r="C11" s="41" t="n">
        <v>0</v>
      </c>
      <c r="D11" s="41" t="n">
        <v>2</v>
      </c>
      <c r="E11" s="41" t="n">
        <v>0</v>
      </c>
      <c r="F11" s="41" t="n">
        <v>1</v>
      </c>
      <c r="G11" s="41" t="n">
        <v>1</v>
      </c>
      <c r="H11" s="40">
        <f>IF(COUNT(C11:G11)=5,SUM(C11:G11),"")</f>
        <v/>
      </c>
      <c r="I11" s="42" t="inlineStr">
        <is>
          <t>Falla nominal: sensorAnterior se copia antes de evaluar el flanco, impidiendo contar; IEC 2: compila y tipos correctos.</t>
        </is>
      </c>
      <c r="J11" s="42" t="inlineStr">
        <is>
          <t>Condición de flanco inalcanzable por copia previa del estado.</t>
        </is>
      </c>
      <c r="K11" s="42" t="inlineStr">
        <is>
          <t>Estructura básica, pero los comentarios no reflejan que el flanco no se detecta.</t>
        </is>
      </c>
      <c r="L11" s="42" t="inlineStr">
        <is>
          <t>Límite 12 literal no parametrizado.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B3-6421</t>
        </is>
      </c>
      <c r="B12" s="39" t="inlineStr">
        <is>
          <t>Compila. Pasa los 7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Funcional fijado; IEC 2: flanco manual correcto.</t>
        </is>
      </c>
      <c r="J12" s="42" t="inlineStr">
        <is>
          <t>Reset prioritario, detección de flanco correcta y salida actualizada según cuenta.</t>
        </is>
      </c>
      <c r="K12" s="42" t="inlineStr">
        <is>
          <t>Nombres descriptivos y comentarios claros.</t>
        </is>
      </c>
      <c r="L12" s="42" t="inlineStr">
        <is>
          <t>Umbral 12 literal.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B3-8845</t>
        </is>
      </c>
      <c r="B13" s="39" t="inlineStr">
        <is>
          <t>Compila. Pasa los 7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fijado; IEC 2: flanco manual correcto.</t>
        </is>
      </c>
      <c r="J13" s="42" t="inlineStr">
        <is>
          <t>Aunque el conteo precede al reset, el resultado final con reset y flanco simultáneos es correcto.</t>
        </is>
      </c>
      <c r="K13" s="42" t="inlineStr">
        <is>
          <t>Comentarios y nombres descriptivos.</t>
        </is>
      </c>
      <c r="L13" s="42" t="inlineStr">
        <is>
          <t>Límite 12 literal.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B3-9202</t>
        </is>
      </c>
      <c r="B14" s="39" t="inlineStr">
        <is>
          <t>No compila (6 errores).</t>
        </is>
      </c>
      <c r="C14" s="40" t="n">
        <v>0</v>
      </c>
      <c r="D14" s="40" t="n">
        <v>0</v>
      </c>
      <c r="E14" s="41" t="n">
        <v>2</v>
      </c>
      <c r="F14" s="41" t="n">
        <v>2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Lógica concebida con CTU coherente, pero el nombre R en lugar de RESET impide compilar.</t>
        </is>
      </c>
      <c r="K14" s="42" t="inlineStr">
        <is>
          <t>Nombres y comentarios breves claros.</t>
        </is>
      </c>
      <c r="L14" s="42" t="inlineStr">
        <is>
          <t>PV=12 literal en la instancia, no parametrizado.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B3-5228</t>
        </is>
      </c>
      <c r="B15" s="39" t="inlineStr">
        <is>
          <t>Compila. Pasa los 7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Funcional fijado; IEC 3 por R_TRIG estándar.</t>
        </is>
      </c>
      <c r="J15" s="42" t="inlineStr">
        <is>
          <t>Reset prioritario y salida evaluada tras cada ciclo.</t>
        </is>
      </c>
      <c r="K15" s="42" t="inlineStr">
        <is>
          <t>Comentarios y nombres descriptivos.</t>
        </is>
      </c>
      <c r="L15" s="42" t="inlineStr">
        <is>
          <t>Umbral 12 literal no declarado.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B3-2786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Funcional fijado; IEC 3 por R_TRIG estándar.</t>
        </is>
      </c>
      <c r="J16" s="42" t="inlineStr">
        <is>
          <t>Reset prioritario y bloqueo de conteo cuando loteListo ya está activo.</t>
        </is>
      </c>
      <c r="K16" s="42" t="inlineStr">
        <is>
          <t>Comentarios y nombres descriptivos.</t>
        </is>
      </c>
      <c r="L16" s="42" t="inlineStr">
        <is>
          <t>Límite 12 literal.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B3-5689</t>
        </is>
      </c>
      <c r="B17" s="39" t="inlineStr">
        <is>
          <t>Compila. Pasa los 7 pasos del harness.</t>
        </is>
      </c>
      <c r="C17" s="40" t="n">
        <v>3</v>
      </c>
      <c r="D17" s="41" t="n">
        <v>2</v>
      </c>
      <c r="E17" s="41" t="n">
        <v>2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fijado; IEC 2: flanco manual correcto.</t>
        </is>
      </c>
      <c r="J17" s="42" t="inlineStr">
        <is>
          <t>Correcto en secuencia normal; si reset y flanco coinciden, la cuenta puede quedar en 1 tras reset.</t>
        </is>
      </c>
      <c r="K17" s="42" t="inlineStr">
        <is>
          <t>Estructura clara y comentarios por bloques.</t>
        </is>
      </c>
      <c r="L17" s="42" t="inlineStr">
        <is>
          <t>Límite 12 literal.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B3-3133</t>
        </is>
      </c>
      <c r="B18" s="39" t="inlineStr">
        <is>
          <t>Compila. Pasa los 7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Funcional fijado; IEC 2: flanco manual correcto.</t>
        </is>
      </c>
      <c r="J18" s="42" t="inlineStr">
        <is>
          <t>Correcto en secuencia normal; un reset coincidente con flanco no deja la cuenta en cero.</t>
        </is>
      </c>
      <c r="K18" s="42" t="inlineStr">
        <is>
          <t>Comentarios breves y nombres descriptivos.</t>
        </is>
      </c>
      <c r="L18" s="42" t="inlineStr">
        <is>
          <t>Límite 12 literal.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B3-3078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Funcional fijado; IEC 3 por R_TRIG estándar.</t>
        </is>
      </c>
      <c r="J19" s="42" t="inlineStr">
        <is>
          <t>Aunque cuenta antes del reset, el reset posterior anula cualquier incremento simultáneo.</t>
        </is>
      </c>
      <c r="K19" s="42" t="inlineStr">
        <is>
          <t>Comentarios y nombres descriptivos.</t>
        </is>
      </c>
      <c r="L19" s="42" t="inlineStr">
        <is>
          <t>Límite 12 literal.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B3-8293</t>
        </is>
      </c>
      <c r="B20" s="39" t="inlineStr">
        <is>
          <t>Compila. Pasa los 7 pasos del harness.</t>
        </is>
      </c>
      <c r="C20" s="40" t="n">
        <v>3</v>
      </c>
      <c r="D20" s="41" t="n">
        <v>2</v>
      </c>
      <c r="E20" s="41" t="n">
        <v>2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Funcional fijado; IEC 2: flanco manual correcto.</t>
        </is>
      </c>
      <c r="J20" s="42" t="inlineStr">
        <is>
          <t>Correcto en secuencia normal; reset y flanco simultáneos pueden dejar una cuenta residual.</t>
        </is>
      </c>
      <c r="K20" s="42" t="inlineStr">
        <is>
          <t>Comentarios por bloques y nombres descriptivos.</t>
        </is>
      </c>
      <c r="L20" s="42" t="inlineStr">
        <is>
          <t>Límite 12 literal.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B3-2446</t>
        </is>
      </c>
      <c r="B21" s="39" t="inlineStr">
        <is>
          <t>Compila. Pasa los 7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Funcional fijado; IEC 2: flanco manual correcto.</t>
        </is>
      </c>
      <c r="J21" s="42" t="inlineStr">
        <is>
          <t>Reset prioritario dentro de ELSE; sin estados muertos.</t>
        </is>
      </c>
      <c r="K21" s="42" t="inlineStr">
        <is>
          <t>Comentarios claros y estructura ordenada.</t>
        </is>
      </c>
      <c r="L21" s="42" t="inlineStr">
        <is>
          <t>Límite 12 literal.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B3-6547</t>
        </is>
      </c>
      <c r="B22" s="39" t="inlineStr">
        <is>
          <t>Compila. Pasa los 7 pasos del harness.</t>
        </is>
      </c>
      <c r="C22" s="40" t="n">
        <v>3</v>
      </c>
      <c r="D22" s="41" t="n">
        <v>2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Funcional fijado; IEC 2: flanco manual con tipos y constantes correctos.</t>
        </is>
      </c>
      <c r="J22" s="42" t="inlineStr">
        <is>
          <t>Reset prioritario, límite con tope y estado previo limpiado en reset.</t>
        </is>
      </c>
      <c r="K22" s="42" t="inlineStr">
        <is>
          <t>Secciones bien delimitadas, constante nominal y comentarios justificativos.</t>
        </is>
      </c>
      <c r="L22" s="42" t="inlineStr">
        <is>
          <t>TAMANO_LOTE declarado como constante; falta exponerlo como entrada para mayor extensibilidad.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B3-3429</t>
        </is>
      </c>
      <c r="B23" s="39" t="inlineStr">
        <is>
          <t>Compila. Pasa los 7 pasos del harness.</t>
        </is>
      </c>
      <c r="C23" s="40" t="n">
        <v>3</v>
      </c>
      <c r="D23" s="41" t="n">
        <v>2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Funcional fijado; IEC 2: flanco manual correcto.</t>
        </is>
      </c>
      <c r="J23" s="42" t="inlineStr">
        <is>
          <t>Resultado final correcto; el reset posterior anula incrementos simultáneos.</t>
        </is>
      </c>
      <c r="K23" s="42" t="inlineStr">
        <is>
          <t>Comentarios básicos y nombres descriptivos.</t>
        </is>
      </c>
      <c r="L23" s="42" t="inlineStr">
        <is>
          <t>Límite 12 literal.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B3-6741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Funcional fijado; IEC 2: flanco manual con tipos y constantes correctos.</t>
        </is>
      </c>
      <c r="J24" s="42" t="inlineStr">
        <is>
          <t>Reset prioritario, conteo limitado y salida activada al alcanzar el límite.</t>
        </is>
      </c>
      <c r="K24" s="42" t="inlineStr">
        <is>
          <t>Secciones ordenadas, constante LIMITE_LOTE y comentarios que explican el porqué.</t>
        </is>
      </c>
      <c r="L24" s="42" t="inlineStr">
        <is>
          <t>LIMITE_LOTE declarado como constante; cambio localizado sin duplicación de lógica.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B3-3465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Funcional fijado; IEC 3 por CTU estándar.</t>
        </is>
      </c>
      <c r="J25" s="42" t="inlineStr">
        <is>
          <t>Lógica delegada en CTU estándar, sin contradicciones.</t>
        </is>
      </c>
      <c r="K25" s="42" t="inlineStr">
        <is>
          <t>Comentario breve y nombres descriptivos.</t>
        </is>
      </c>
      <c r="L25" s="42" t="inlineStr">
        <is>
          <t>PV=12 literal en la instancia, no parametrizado.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B3-4741</t>
        </is>
      </c>
      <c r="B26" s="39" t="inlineStr">
        <is>
          <t>Compila. Pasa los 7 pasos del harness.</t>
        </is>
      </c>
      <c r="C26" s="40" t="n">
        <v>3</v>
      </c>
      <c r="D26" s="41" t="n">
        <v>2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 fijado; IEC 2: flanco manual correcto.</t>
        </is>
      </c>
      <c r="J26" s="42" t="inlineStr">
        <is>
          <t>Reset prioritario, flanco correcto y salida actualizada en cada ciclo.</t>
        </is>
      </c>
      <c r="K26" s="42" t="inlineStr">
        <is>
          <t>Comentarios y nombres descriptivos.</t>
        </is>
      </c>
      <c r="L26" s="42" t="inlineStr">
        <is>
          <t>Límite 12 literal.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B3-1730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3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Funcional fijado; IEC 2: flanco manual correcto.</t>
        </is>
      </c>
      <c r="J27" s="42" t="inlineStr">
        <is>
          <t>Reset prioritario, flanco correcto y salida lote actualizada.</t>
        </is>
      </c>
      <c r="K27" s="42" t="inlineStr">
        <is>
          <t>Comentarios claros y estructura ordenada.</t>
        </is>
      </c>
      <c r="L27" s="42" t="inlineStr">
        <is>
          <t>Límite 12 literal.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B3-6937</t>
        </is>
      </c>
      <c r="B28" s="39" t="inlineStr">
        <is>
          <t>Compila. Falla 3 de 7 pasos del harness (pasos 3,4,5; numerados desde 0).</t>
        </is>
      </c>
      <c r="C28" s="41" t="n">
        <v>0</v>
      </c>
      <c r="D28" s="41" t="n">
        <v>2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42" t="inlineStr">
        <is>
          <t>Falla nominal: reinicializa cuenta y estado previo cada scan; IEC 2: compila y tipos correctos.</t>
        </is>
      </c>
      <c r="J28" s="42" t="inlineStr">
        <is>
          <t>Estado interno destruido en cada ciclo, impidiendo acumular la cuenta.</t>
        </is>
      </c>
      <c r="K28" s="42" t="inlineStr">
        <is>
          <t>Comentarios de inicialización resultan engañosos para el lector.</t>
        </is>
      </c>
      <c r="L28" s="42" t="inlineStr">
        <is>
          <t>Límite 12 literal.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B3-2730</t>
        </is>
      </c>
      <c r="B29" s="39" t="inlineStr">
        <is>
          <t>Compila. Pasa los 7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Funcional fijado; IEC 3 por R_TRIG estándar.</t>
        </is>
      </c>
      <c r="J29" s="42" t="inlineStr">
        <is>
          <t>Reset prioritario, flanco estándar y bloqueo de conteo con lote ya completo.</t>
        </is>
      </c>
      <c r="K29" s="42" t="inlineStr">
        <is>
          <t>Comentarios y nombres descriptivos.</t>
        </is>
      </c>
      <c r="L29" s="42" t="inlineStr">
        <is>
          <t>Límite 12 literal.</t>
        </is>
      </c>
      <c r="M29" s="42" t="n"/>
      <c r="N29" s="40">
        <f>IF(COUNT(C29:G29)=5,"Completa","Falta")</f>
        <v/>
      </c>
    </row>
    <row r="30"/>
  </sheetData>
  <dataValidations count="3">
    <dataValidation sqref="C7 C11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3 D15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B4 — Inversión de giro con enclavamiento cruzado (Basico)</t>
        </is>
      </c>
    </row>
    <row r="2" ht="15" customHeight="1" s="22">
      <c r="A2" s="33" t="inlineStr">
        <is>
          <t>Lee cada respuesta por su código en respuestas/Respuestas_B4.html.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B4-8136</t>
        </is>
      </c>
      <c r="B6" s="39" t="inlineStr">
        <is>
          <t>Compila. Falla 4 de 10 pasos del harness (pasos 3,4,7,9;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Compila con ST estándar, pero la lógica falla la reversa prohibida y el paro.</t>
        </is>
      </c>
      <c r="J6" s="42" t="inlineStr">
        <is>
          <t>El estado 0 no asigna salidas; la máquina de estados contradice el paro y deja salidas retenidas.</t>
        </is>
      </c>
      <c r="K6" s="42" t="inlineStr">
        <is>
          <t>Nombres descriptivos y comentarios breves; la omisión de salidas en paro no está explicada.</t>
        </is>
      </c>
      <c r="L6" s="42" t="inlineStr">
        <is>
          <t>Estados enteros mágicos sin constantes; modificaciones requieren tocar cada transición.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B4-1620</t>
        </is>
      </c>
      <c r="B7" s="39" t="inlineStr">
        <is>
          <t>Compila. Pasa los 10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Compila sin extensiones y usa enclavamiento estándar idiomático con salidas correctamente declaradas.</t>
        </is>
      </c>
      <c r="J7" s="42" t="inlineStr">
        <is>
          <t>Interlocks completos y sin contradicciones; paro prioritario y bloqueo mutuo asegurado.</t>
        </is>
      </c>
      <c r="K7" s="42" t="inlineStr">
        <is>
          <t>Secciones y comentarios útiles, aunque la retención por ausencia de asignación no se explica.</t>
        </is>
      </c>
      <c r="L7" s="42" t="inlineStr">
        <is>
          <t>Lógica simple y localizada sin valores mágicos; fácil de ajustar.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B4-8880</t>
        </is>
      </c>
      <c r="B8" s="39" t="inlineStr">
        <is>
          <t>Compila. Pasa los 10 pasos del harness.</t>
        </is>
      </c>
      <c r="C8" s="40" t="n">
        <v>3</v>
      </c>
      <c r="D8" s="41" t="n">
        <v>1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Compila en CODESYS, pero los comentarios // son una extensión no estándar IEC.</t>
        </is>
      </c>
      <c r="J8" s="42" t="inlineStr">
        <is>
          <t>Máquina de estados completa y sin transiciones prohibidas; inicialización por defecto asumida.</t>
        </is>
      </c>
      <c r="K8" s="42" t="inlineStr">
        <is>
          <t>Nombres claros y comentarios breves; el estado inicial implícito no está documentado.</t>
        </is>
      </c>
      <c r="L8" s="42" t="inlineStr">
        <is>
          <t>Estados enteros sin constantes; el cambio de estados toca la lógica completa.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B4-9178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Compila sin extensiones y emplea un FB estándar con variable de marcha booleana correcta.</t>
        </is>
      </c>
      <c r="J9" s="42" t="inlineStr">
        <is>
          <t>Paro prioritario, arranque sólo en reposo y salidas excluyentes; sin estados muertos.</t>
        </is>
      </c>
      <c r="K9" s="42" t="inlineStr">
        <is>
          <t>Comentarios de bloque claros y nombres descriptivos; la estructura es lineal y legible.</t>
        </is>
      </c>
      <c r="L9" s="42" t="inlineStr">
        <is>
          <t>Lógica centralizada con variable booleana; cambios simples pero poco extensible.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B4-2076</t>
        </is>
      </c>
      <c r="B10" s="39" t="inlineStr">
        <is>
          <t>Compila. Pasa los 10 pasos del harness.</t>
        </is>
      </c>
      <c r="C10" s="40" t="n">
        <v>3</v>
      </c>
      <c r="D10" s="41" t="n">
        <v>1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Compila, pero usa comentarios // como extensión de CODESYS, fuera del estándar IEC.</t>
        </is>
      </c>
      <c r="J10" s="42" t="inlineStr">
        <is>
          <t>Máquina de estados con salidas definidas en cada estado y transiciones sólo por paro.</t>
        </is>
      </c>
      <c r="K10" s="42" t="inlineStr">
        <is>
          <t>Código legible con comentarios de estado; nombres descriptivos.</t>
        </is>
      </c>
      <c r="L10" s="42" t="inlineStr">
        <is>
          <t>Números mágicos para estados sin constantes; cambios menos localizados.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B4-2916</t>
        </is>
      </c>
      <c r="B11" s="39" t="inlineStr">
        <is>
          <t>Compila. Pasa los 10 pasos del harness.</t>
        </is>
      </c>
      <c r="C11" s="40" t="n">
        <v>3</v>
      </c>
      <c r="D11" s="41" t="n">
        <v>1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Compila, pero usa comentarios // como extensión CODESYS no estándar.</t>
        </is>
      </c>
      <c r="J11" s="42" t="inlineStr">
        <is>
          <t>Ecuaciones de enclavamiento completas: paro prioritario y bloqueo mutuo en todo ciclo.</t>
        </is>
      </c>
      <c r="K11" s="42" t="inlineStr">
        <is>
          <t>Comentarios explican cada condición; nombres adecuados.</t>
        </is>
      </c>
      <c r="L11" s="42" t="inlineStr">
        <is>
          <t>Sin valores mágicos; lógica por ecuaciones, aunque acoplada.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B4-1844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Sintaxis IEC estándar y compilación sin cambios; enclavamientos idiomáticos con comentarios (* *).</t>
        </is>
      </c>
      <c r="J12" s="42" t="inlineStr">
        <is>
          <t>Interbloqueo simétrico correcto con paro prioritario; sin estado contradictorio.</t>
        </is>
      </c>
      <c r="K12" s="42" t="inlineStr">
        <is>
          <t>Comentarios breves y nombres descriptivos; fácil de leer.</t>
        </is>
      </c>
      <c r="L12" s="42" t="inlineStr">
        <is>
          <t>Sin valores mágicos y lógica localizada; modificaciones sencillas.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B4-9939</t>
        </is>
      </c>
      <c r="B13" s="39" t="inlineStr">
        <is>
          <t>Compila. Falla 3 de 10 pasos del harness (pasos 2,3,6; numerados desde 0).</t>
        </is>
      </c>
      <c r="C13" s="41" t="n">
        <v>0</v>
      </c>
      <c r="D13" s="41" t="n">
        <v>1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Compila, pero usa // no estándar; funcionalmente el reset cada ciclo rompe el enclavamiento.</t>
        </is>
      </c>
      <c r="J13" s="42" t="inlineStr">
        <is>
          <t>Asignar estado:=0 en cada scan anula la retención y contradice la máquina de estados.</t>
        </is>
      </c>
      <c r="K13" s="42" t="inlineStr">
        <is>
          <t>El comentario Inicialización del estado resulta incorrecto porque se ejecuta cada ciclo.</t>
        </is>
      </c>
      <c r="L13" s="42" t="inlineStr">
        <is>
          <t>Estados enteros mágicos y lógica frágil; difícil de mantener.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B4-9793</t>
        </is>
      </c>
      <c r="B14" s="39" t="inlineStr">
        <is>
          <t>Compila. Falla 2 de 10 pasos del harness (pasos 3,6; numerados desde 0).</t>
        </is>
      </c>
      <c r="C14" s="41" t="n">
        <v>1</v>
      </c>
      <c r="D14" s="41" t="n">
        <v>2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Compila con ST estándar, pero falla al permitir reversa directa en pasos 3 y 6.</t>
        </is>
      </c>
      <c r="J14" s="42" t="inlineStr">
        <is>
          <t>Varios IF independientes dejan estado y salidas inconsistentes; hay lógica redundante y contradictoria.</t>
        </is>
      </c>
      <c r="K14" s="42" t="inlineStr">
        <is>
          <t>Mezcla de bloques por estado dificulta seguir la transición; comentarios no aclaran el riesgo.</t>
        </is>
      </c>
      <c r="L14" s="42" t="inlineStr">
        <is>
          <t>Estados mágicos y lógica repetida; cambios con alto riesgo de efectos laterales.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B4-5174</t>
        </is>
      </c>
      <c r="B15" s="39" t="inlineStr">
        <is>
          <t>Compila. Falla 4 de 10 pasos del harness (pasos 3,4,7,9; numerados desde 0).</t>
        </is>
      </c>
      <c r="C15" s="41" t="n">
        <v>0</v>
      </c>
      <c r="D15" s="41" t="n">
        <v>2</v>
      </c>
      <c r="E15" s="41" t="n">
        <v>0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Compila con sintaxis estándar, pero falla la prohibición de reversa y el paro.</t>
        </is>
      </c>
      <c r="J15" s="42" t="inlineStr">
        <is>
          <t>El estado 0 no asigna salidas, por lo que el paro no garantiza fwd/rev apagados.</t>
        </is>
      </c>
      <c r="K15" s="42" t="inlineStr">
        <is>
          <t>Máquina de estados visible y nombres adecuados, aunque el estado 0 está incompleto.</t>
        </is>
      </c>
      <c r="L15" s="42" t="inlineStr">
        <is>
          <t>Estados enteros sin constantes; lógica de transiciones dispersa.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B4-1107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Compila sin extensiones y usa enclavamiento estándar idiomático más interbloqueo final.</t>
        </is>
      </c>
      <c r="J16" s="42" t="inlineStr">
        <is>
          <t>Bloqueo mutuo robusto, paro prioritario y verificación final; sin estados muertos.</t>
        </is>
      </c>
      <c r="K16" s="42" t="inlineStr">
        <is>
          <t>Comentarios por sección y nombres descriptivos; la seguridad está explicada.</t>
        </is>
      </c>
      <c r="L16" s="42" t="inlineStr">
        <is>
          <t>Lógica simple y cambios localizados; sin constantes mágicas.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B4-2313</t>
        </is>
      </c>
      <c r="B17" s="39" t="inlineStr">
        <is>
          <t>Compila. Falla 2 de 10 pasos del harness (pasos 3,6; numerados desde 0).</t>
        </is>
      </c>
      <c r="C17" s="41" t="n">
        <v>1</v>
      </c>
      <c r="D17" s="41" t="n">
        <v>1</v>
      </c>
      <c r="E17" s="41" t="n">
        <v>2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Compila, pero usa // (extensión) y falla la reversa directa en pasos 3 y 6.</t>
        </is>
      </c>
      <c r="J17" s="42" t="inlineStr">
        <is>
          <t>Máquina de estados completa con salidas asignadas, pero tiene transiciones directas no seguras.</t>
        </is>
      </c>
      <c r="K17" s="42" t="inlineStr">
        <is>
          <t>Separación entre transiciones y salidas clara; comentarios útiles.</t>
        </is>
      </c>
      <c r="L17" s="42" t="inlineStr">
        <is>
          <t>Estados numéricos mágicos sin constantes; cambios de secuencia poco localizados.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B4-4978</t>
        </is>
      </c>
      <c r="B18" s="39" t="inlineStr">
        <is>
          <t>Compila. Pasa los 10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Compila sin extensiones y usa una máquina de estados estándar correcta.</t>
        </is>
      </c>
      <c r="J18" s="42" t="inlineStr">
        <is>
          <t>Transiciones sólo desde paro y salidas derivadas del estado; sin contradicciones.</t>
        </is>
      </c>
      <c r="K18" s="42" t="inlineStr">
        <is>
          <t>Nombres claros y comentarios breves; la inicialización implícita no se documenta.</t>
        </is>
      </c>
      <c r="L18" s="42" t="inlineStr">
        <is>
          <t>Estados enteros mágicos; la lógica es simple pero poco parametrizada.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B4-6326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Compila sin extensiones y declara tipos correctos en una máquina de estados estándar.</t>
        </is>
      </c>
      <c r="J19" s="42" t="inlineStr">
        <is>
          <t>Lógica coherente, salidas calculadas cada ciclo y sin transiciones prohibidas.</t>
        </is>
      </c>
      <c r="K19" s="42" t="inlineStr">
        <is>
          <t>Nombres descriptivos y comentarios breves; estructura directa.</t>
        </is>
      </c>
      <c r="L19" s="42" t="inlineStr">
        <is>
          <t>Estados enteros sin constantes; cambios requieren revisar toda la lógica.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B4-2461</t>
        </is>
      </c>
      <c r="B20" s="39" t="inlineStr">
        <is>
          <t>Compila. Pasa los 10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Compila sin extensiones; usa ecuaciones de enclavamiento idiomáticas y tipos BOOL correctos.</t>
        </is>
      </c>
      <c r="J20" s="42" t="inlineStr">
        <is>
          <t>Interbloqueo simétrico y paro prioritario; sin ambigüedad ante entradas simultáneas.</t>
        </is>
      </c>
      <c r="K20" s="42" t="inlineStr">
        <is>
          <t>Comentarios breves y nombres adecuados; legible.</t>
        </is>
      </c>
      <c r="L20" s="42" t="inlineStr">
        <is>
          <t>Sin valores mágicos; lógica compacta y localizada.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B4-9948</t>
        </is>
      </c>
      <c r="B21" s="39" t="inlineStr">
        <is>
          <t>Compila. Pasa los 10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Usa sintaxis estándar IEC y enclavamiento idiomático sin extensiones.</t>
        </is>
      </c>
      <c r="J21" s="42" t="inlineStr">
        <is>
          <t>Bloqueo mutuo simétrico correcto, con prioridad de paro.</t>
        </is>
      </c>
      <c r="K21" s="42" t="inlineStr">
        <is>
          <t>Comentarios claros; nombres descriptivos.</t>
        </is>
      </c>
      <c r="L21" s="42" t="inlineStr">
        <is>
          <t>Sin constantes mágicas; lógica por ecuaciones fácil de ajustar.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B4-7421</t>
        </is>
      </c>
      <c r="B22" s="39" t="inlineStr">
        <is>
          <t>Compila. Pasa los 10 pasos del harness.</t>
        </is>
      </c>
      <c r="C22" s="40" t="n">
        <v>3</v>
      </c>
      <c r="D22" s="41" t="n">
        <v>1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Compila, pero emplea comentarios // como extensión CODESYS no IEC.</t>
        </is>
      </c>
      <c r="J22" s="42" t="inlineStr">
        <is>
          <t>Ecuaciones de enclavamiento robustas; garantiza exclusión mutua y prioridad de paro.</t>
        </is>
      </c>
      <c r="K22" s="42" t="inlineStr">
        <is>
          <t>Comentarios útiles y nombres descriptivos; mezcla de estilos de comentario.</t>
        </is>
      </c>
      <c r="L22" s="42" t="inlineStr">
        <is>
          <t>Sin valores mágicos; lógica compacta, aunque acoplada.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B4-1969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Compila sin extensiones y usa una máquina de estados IEC correcta.</t>
        </is>
      </c>
      <c r="J23" s="42" t="inlineStr">
        <is>
          <t>Salidas derivadas del estado cada ciclo; no hay transición directa entre sentidos.</t>
        </is>
      </c>
      <c r="K23" s="42" t="inlineStr">
        <is>
          <t>Nombres y comentarios breves; fácil de seguir.</t>
        </is>
      </c>
      <c r="L23" s="42" t="inlineStr">
        <is>
          <t>Estados enteros sin constantes; cambios de secuencia poco parametrizados.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B4-9599</t>
        </is>
      </c>
      <c r="B24" s="39" t="inlineStr">
        <is>
          <t>Compila. Pasa los 10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3</v>
      </c>
      <c r="H24" s="40">
        <f>IF(COUNT(C24:G24)=5,SUM(C24:G24),"")</f>
        <v/>
      </c>
      <c r="I24" s="42" t="inlineStr">
        <is>
          <t>Compila sin extensiones y usa estructura estándar idiomática con interbloqueo final.</t>
        </is>
      </c>
      <c r="J24" s="42" t="inlineStr">
        <is>
          <t>Doble barrera: arranque sólo en reposo y verificación final de no simultaneidad.</t>
        </is>
      </c>
      <c r="K24" s="42" t="inlineStr">
        <is>
          <t>Secciones comentadas con separadores y explicación del porqué de cada bloque.</t>
        </is>
      </c>
      <c r="L24" s="42" t="inlineStr">
        <is>
          <t>Estado booleano explícito y sin duplicación; diseño limpio y extensible.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B4-3739</t>
        </is>
      </c>
      <c r="B25" s="39" t="inlineStr">
        <is>
          <t>Compila. Falla 1 de 10 pasos del harness (pasos 3; numerados desde 0).</t>
        </is>
      </c>
      <c r="C25" s="41" t="n">
        <v>1</v>
      </c>
      <c r="D25" s="41" t="n">
        <v>1</v>
      </c>
      <c r="E25" s="41" t="n">
        <v>2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Compila, pero usa // y falla la reversa directa en el paso 3.</t>
        </is>
      </c>
      <c r="J25" s="42" t="inlineStr">
        <is>
          <t>Máquina de estados completa, aunque permite transición directa fwd a rev no segura.</t>
        </is>
      </c>
      <c r="K25" s="42" t="inlineStr">
        <is>
          <t>Nombres y comentarios adecuados; la lógica CASE es fácil de inspeccionar.</t>
        </is>
      </c>
      <c r="L25" s="42" t="inlineStr">
        <is>
          <t>Estados enteros mágicos sin constantes; cambios requieren tocar transiciones.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B4-1794</t>
        </is>
      </c>
      <c r="B26" s="39" t="inlineStr">
        <is>
          <t>Compila. Pasa los 10 pasos del harness.</t>
        </is>
      </c>
      <c r="C26" s="40" t="n">
        <v>3</v>
      </c>
      <c r="D26" s="41" t="n">
        <v>3</v>
      </c>
      <c r="E26" s="41" t="n">
        <v>3</v>
      </c>
      <c r="F26" s="41" t="n">
        <v>3</v>
      </c>
      <c r="G26" s="41" t="n">
        <v>3</v>
      </c>
      <c r="H26" s="40">
        <f>IF(COUNT(C26:G26)=5,SUM(C26:G26),"")</f>
        <v/>
      </c>
      <c r="I26" s="42" t="inlineStr">
        <is>
          <t>Compila sin extensiones y usa un patrón estándar idiomático con estados internos separados.</t>
        </is>
      </c>
      <c r="J26" s="42" t="inlineStr">
        <is>
          <t>Estados booleanos explícitos, paro prioritario y salidas filtradas; sin estados muertos.</t>
        </is>
      </c>
      <c r="K26" s="42" t="inlineStr">
        <is>
          <t>Separación clara entre lógica de estados y salidas; comentarios explican la garantía de seguridad.</t>
        </is>
      </c>
      <c r="L26" s="42" t="inlineStr">
        <is>
          <t>Sin valores mágicos, sin duplicación y con mapeo de salidas localizado.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B4-9025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3</v>
      </c>
      <c r="H27" s="40">
        <f>IF(COUNT(C27:G27)=5,SUM(C27:G27),"")</f>
        <v/>
      </c>
      <c r="I27" s="42" t="inlineStr">
        <is>
          <t>Compila sin extensiones y usa ST estándar idiomático con doble seguro.</t>
        </is>
      </c>
      <c r="J27" s="42" t="inlineStr">
        <is>
          <t>Paro prioritario, arranque en reposo y verificación final de no simultaneidad; robusto.</t>
        </is>
      </c>
      <c r="K27" s="42" t="inlineStr">
        <is>
          <t>Secciones con separadores y comentarios que explican el porqué; muy legible.</t>
        </is>
      </c>
      <c r="L27" s="42" t="inlineStr">
        <is>
          <t>Estado booleano sin duplicación y cambios localizados; diseño extensible.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B4-7211</t>
        </is>
      </c>
      <c r="B28" s="39" t="inlineStr">
        <is>
          <t>Compila. Falla 2 de 10 pasos del harness (pasos 3,6; numerados desde 0).</t>
        </is>
      </c>
      <c r="C28" s="41" t="n">
        <v>1</v>
      </c>
      <c r="D28" s="41" t="n">
        <v>1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Compila, pero usa //; funcionalmente falla la inversión en pasos 3 y 6.</t>
        </is>
      </c>
      <c r="J28" s="42" t="inlineStr">
        <is>
          <t>Ecuaciones completas sin salidas simultáneas, pero sobrecondicionadas y pierden la dirección esperada.</t>
        </is>
      </c>
      <c r="K28" s="42" t="inlineStr">
        <is>
          <t>Comentarios útiles y nombres adecuados; condiciones densas pero legibles.</t>
        </is>
      </c>
      <c r="L28" s="42" t="inlineStr">
        <is>
          <t>Sin valores mágicos; lógica por ecuaciones, aunque acoplada.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B4-5930</t>
        </is>
      </c>
      <c r="B29" s="39" t="inlineStr">
        <is>
          <t>Compila. Pasa los 10 pasos del harness.</t>
        </is>
      </c>
      <c r="C29" s="40" t="n">
        <v>3</v>
      </c>
      <c r="D29" s="41" t="n">
        <v>1</v>
      </c>
      <c r="E29" s="41" t="n">
        <v>3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Compila, pero usa comentarios // como extensión CODESYS no estándar.</t>
        </is>
      </c>
      <c r="J29" s="42" t="inlineStr">
        <is>
          <t>Máquina de estados con salidas definidas y transiciones sólo desde paro; coherente.</t>
        </is>
      </c>
      <c r="K29" s="42" t="inlineStr">
        <is>
          <t>Nombres claros y comentarios breves; el estado implícito no se explica.</t>
        </is>
      </c>
      <c r="L29" s="42" t="inlineStr">
        <is>
          <t>Estados enteros sin constantes; cambios no parametrizados.</t>
        </is>
      </c>
      <c r="M29" s="42" t="n"/>
      <c r="N29" s="40">
        <f>IF(COUNT(C29:G29)=5,"Completa","Falta")</f>
        <v/>
      </c>
    </row>
    <row r="30"/>
  </sheetData>
  <dataValidations count="3">
    <dataValidation sqref="C6 C13:C15 C17 C25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B5 — Ventilador con retardo a la desconexión (Basico)</t>
        </is>
      </c>
    </row>
    <row r="2" ht="15" customHeight="1" s="22">
      <c r="A2" s="33" t="inlineStr">
        <is>
          <t>Lee cada respuesta por su código en respuestas/Respuestas_B5.html.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B5-9290</t>
        </is>
      </c>
      <c r="B6" s="39" t="inlineStr">
        <is>
          <t>Compila. Pasa los 9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fijado. IEC: TOF idiomático para retardo a la desconexión.</t>
        </is>
      </c>
      <c r="J6" s="42" t="inlineStr">
        <is>
          <t>Sin contradicciones; el TOF rearma y sigue el estado solicitado.</t>
        </is>
      </c>
      <c r="K6" s="42" t="inlineStr">
        <is>
          <t>Interfaz clara, nombres descriptivos y comentario breve.</t>
        </is>
      </c>
      <c r="L6" s="42" t="inlineStr">
        <is>
          <t>Tiempo fijo literal; cambio simple, aunque sin constante declarada.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B5-7090</t>
        </is>
      </c>
      <c r="B7" s="39" t="inlineStr">
        <is>
          <t>Compila. Falla 1 de 9 pasos del harness (pasos 0; numerados desde 0).</t>
        </is>
      </c>
      <c r="C7" s="41" t="n">
        <v>1</v>
      </c>
      <c r="D7" s="41" t="n">
        <v>2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Funcional: falla solo el reposo inicial. IEC: TON estándar, aunque TOF sería más directo.</t>
        </is>
      </c>
      <c r="J7" s="42" t="inlineStr">
        <is>
          <t>Sin contradicciones internas; arranque inicial no delimitado.</t>
        </is>
      </c>
      <c r="K7" s="42" t="inlineStr">
        <is>
          <t>Nombres claros y comentario breve; estructura básica.</t>
        </is>
      </c>
      <c r="L7" s="42" t="inlineStr">
        <is>
          <t>T#30S aparece una vez; cambios localizados.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B5-4470</t>
        </is>
      </c>
      <c r="B8" s="39" t="inlineStr">
        <is>
          <t>Compila sola, pero no se pudo simular: declara las entradas donde el harness no puede escribirlas ('quemadorOn' no es ninguna entrada de 'FB_VENTILADOR').</t>
        </is>
      </c>
      <c r="C8" s="41" t="n">
        <v>0</v>
      </c>
      <c r="D8" s="41" t="n">
        <v>1</v>
      </c>
      <c r="E8" s="41" t="n">
        <v>0</v>
      </c>
      <c r="F8" s="41" t="n">
        <v>1</v>
      </c>
      <c r="G8" s="41" t="n">
        <v>1</v>
      </c>
      <c r="H8" s="40">
        <f>IF(COUNT(C8:G8)=5,SUM(C8:G8),"")</f>
        <v/>
      </c>
      <c r="I8" s="42" t="inlineStr">
        <is>
          <t>No se puede escribir la entrada; falta VAR_INPUT/VAR_OUTPUT y ello rompe la interfaz.</t>
        </is>
      </c>
      <c r="J8" s="42" t="inlineStr">
        <is>
          <t>Temporizador se resetea y rearranca en cada ciclo; la lógica no puede operar.</t>
        </is>
      </c>
      <c r="K8" s="42" t="inlineStr">
        <is>
          <t>Comentarios, pero la interfaz incorrecta induce a error.</t>
        </is>
      </c>
      <c r="L8" s="42" t="inlineStr">
        <is>
          <t>Sin parámetros; corregir requiere rehacer interfaz.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B5-6632</t>
        </is>
      </c>
      <c r="B9" s="39" t="inlineStr">
        <is>
          <t>Compila. Falla 5 de 9 pasos del harness (pasos 2,3,5,7,8; numerados desde 0).</t>
        </is>
      </c>
      <c r="C9" s="41" t="n">
        <v>0</v>
      </c>
      <c r="D9" s="41" t="n">
        <v>2</v>
      </c>
      <c r="E9" s="41" t="n">
        <v>2</v>
      </c>
      <c r="F9" s="41" t="n">
        <v>1</v>
      </c>
      <c r="G9" s="41" t="n">
        <v>2</v>
      </c>
      <c r="H9" s="40">
        <f>IF(COUNT(C9:G9)=5,SUM(C9:G9),"")</f>
        <v/>
      </c>
      <c r="I9" s="42" t="inlineStr">
        <is>
          <t>No cumple el post-enfriamiento: mantiene el ventilador apagado durante los 30 s y lo enciende después.</t>
        </is>
      </c>
      <c r="J9" s="42" t="inlineStr">
        <is>
          <t>Lógica coherente, pero expresa un retardo a la conexión en lugar de desconexión.</t>
        </is>
      </c>
      <c r="K9" s="42" t="inlineStr">
        <is>
          <t>El comentario dice lo correcto, pero es inconsistente con la fórmula implementada.</t>
        </is>
      </c>
      <c r="L9" s="42" t="inlineStr">
        <is>
          <t>Tiempo literal único y estructura mínima.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B5-4246</t>
        </is>
      </c>
      <c r="B10" s="39" t="inlineStr">
        <is>
          <t>Compila. Falla 1 de 9 pasos del harness (pasos 0; numerados desde 0).</t>
        </is>
      </c>
      <c r="C10" s="41" t="n">
        <v>1</v>
      </c>
      <c r="D10" s="41" t="n">
        <v>2</v>
      </c>
      <c r="E10" s="41" t="n">
        <v>2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Falla solo el reposo inicial; IEC estándar con TON para emular TOF.</t>
        </is>
      </c>
      <c r="J10" s="42" t="inlineStr">
        <is>
          <t>Expresión clara sin contradicciones; solo la condición inicial en reposo queda invertida.</t>
        </is>
      </c>
      <c r="K10" s="42" t="inlineStr">
        <is>
          <t>Comentarios bien estructurados que explican la intención.</t>
        </is>
      </c>
      <c r="L10" s="42" t="inlineStr">
        <is>
          <t>Sin duplicación; tiempo fijo localizable.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B5-2235</t>
        </is>
      </c>
      <c r="B11" s="39" t="inlineStr">
        <is>
          <t>Compila. Falla 1 de 9 pasos del harness (pasos 0; numerados desde 0).</t>
        </is>
      </c>
      <c r="C11" s="41" t="n">
        <v>1</v>
      </c>
      <c r="D11" s="41" t="n">
        <v>2</v>
      </c>
      <c r="E11" s="41" t="n">
        <v>2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Falla solo el reposo inicial; IEC: TON estándar aunque TOF sería idiomático.</t>
        </is>
      </c>
      <c r="J11" s="42" t="inlineStr">
        <is>
          <t>Sin contradicciones; el temporizador rearma al encender.</t>
        </is>
      </c>
      <c r="K11" s="42" t="inlineStr">
        <is>
          <t>Nombres descriptivos y comentario lógico ordenado.</t>
        </is>
      </c>
      <c r="L11" s="42" t="inlineStr">
        <is>
          <t>Tiempo fijo y lógica concentrada.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B5-6715</t>
        </is>
      </c>
      <c r="B12" s="39" t="inlineStr">
        <is>
          <t>Compila. Pasa los 9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Funcional fijado. IEC: TOF idiomático.</t>
        </is>
      </c>
      <c r="J12" s="42" t="inlineStr">
        <is>
          <t>El TOF concentra correctamente rearme y temporización.</t>
        </is>
      </c>
      <c r="K12" s="42" t="inlineStr">
        <is>
          <t>Declaración limpia y comentarios que explican el bloque.</t>
        </is>
      </c>
      <c r="L12" s="42" t="inlineStr">
        <is>
          <t>Tiempo fijo T#30S sin constante; sin duplicación.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B5-8536</t>
        </is>
      </c>
      <c r="B13" s="39" t="inlineStr">
        <is>
          <t>Compila. Falla 3 de 9 pasos del harness (pasos 0,5,7; numerados desde 0).</t>
        </is>
      </c>
      <c r="C13" s="41" t="n">
        <v>1</v>
      </c>
      <c r="D13" s="41" t="n">
        <v>2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reposo y rearmes por bloqueo de timerDone; IEC compilable con TON.</t>
        </is>
      </c>
      <c r="J13" s="42" t="inlineStr">
        <is>
          <t>El enclavamiento de timerDone impide reiniciar el temporizador tras reencendido.</t>
        </is>
      </c>
      <c r="K13" s="42" t="inlineStr">
        <is>
          <t>Nombres claros, pero la bandera no comunica su estrategia de enclavamiento.</t>
        </is>
      </c>
      <c r="L13" s="42" t="inlineStr">
        <is>
          <t>Bandera acoplada; corregir comportamiento obliga a tocar lógica.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B5-8802</t>
        </is>
      </c>
      <c r="B14" s="39" t="inlineStr">
        <is>
          <t>Compila sola, pero no se pudo simular: declara las entradas donde el harness no puede escribirlas ('quemadorOn' no es ninguna entrada de 'FB_VENTILADOR').</t>
        </is>
      </c>
      <c r="C14" s="41" t="n">
        <v>0</v>
      </c>
      <c r="D14" s="41" t="n">
        <v>1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Interfaz no conforme: quemadorOn local; no se puede simular ni controlar.</t>
        </is>
      </c>
      <c r="J14" s="42" t="inlineStr">
        <is>
          <t>Doble llamada al temporizador y salida en reposo no prevista.</t>
        </is>
      </c>
      <c r="K14" s="42" t="inlineStr">
        <is>
          <t>Comentarios presentan variables como E/S, pero no lo son.</t>
        </is>
      </c>
      <c r="L14" s="42" t="inlineStr">
        <is>
          <t>Requiere reestructurar interfaz y lógica para ser reutilizable.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B5-2103</t>
        </is>
      </c>
      <c r="B15" s="39" t="inlineStr">
        <is>
          <t>Compila. Pasa los 9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Funcional fijado. IEC: TOF idiomático.</t>
        </is>
      </c>
      <c r="J15" s="42" t="inlineStr">
        <is>
          <t>Comportamiento completamente alineado con el temporizador TOF.</t>
        </is>
      </c>
      <c r="K15" s="42" t="inlineStr">
        <is>
          <t>Comentarios y separación de E/S claros.</t>
        </is>
      </c>
      <c r="L15" s="42" t="inlineStr">
        <is>
          <t>Tiempo fijo literal; simple de ajustar.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B5-3077</t>
        </is>
      </c>
      <c r="B16" s="39" t="inlineStr">
        <is>
          <t>Compila. Pasa los 9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Funcional fijado. IEC: TOF idiomático.</t>
        </is>
      </c>
      <c r="J16" s="42" t="inlineStr">
        <is>
          <t>Sin contradicciones; TOF rearma de forma nativa.</t>
        </is>
      </c>
      <c r="K16" s="42" t="inlineStr">
        <is>
          <t>Comentario explica el porqué del TOF; interfaz clara.</t>
        </is>
      </c>
      <c r="L16" s="42" t="inlineStr">
        <is>
          <t>Tiempo fijo T#30S; sin parámetro pero localizado.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B5-6054</t>
        </is>
      </c>
      <c r="B17" s="39" t="inlineStr">
        <is>
          <t>Compila. Pasa los 9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Funcional fijado. IEC: TOF idiomático.</t>
        </is>
      </c>
      <c r="J17" s="42" t="inlineStr">
        <is>
          <t>Lógica robusta y simple basada en TOF.</t>
        </is>
      </c>
      <c r="K17" s="42" t="inlineStr">
        <is>
          <t>Comentarios útiles y separación limpia de E/S.</t>
        </is>
      </c>
      <c r="L17" s="42" t="inlineStr">
        <is>
          <t>Tiempo fijo; cambio localizado.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B5-6571</t>
        </is>
      </c>
      <c r="B18" s="39" t="inlineStr">
        <is>
          <t>Compila. Falla 1 de 9 pasos del harness (pasos 0; numerados desde 0).</t>
        </is>
      </c>
      <c r="C18" s="41" t="n">
        <v>1</v>
      </c>
      <c r="D18" s="41" t="n">
        <v>2</v>
      </c>
      <c r="E18" s="41" t="n">
        <v>2</v>
      </c>
      <c r="F18" s="41" t="n">
        <v>3</v>
      </c>
      <c r="G18" s="41" t="n">
        <v>2</v>
      </c>
      <c r="H18" s="40">
        <f>IF(COUNT(C18:G18)=5,SUM(C18:G18),"")</f>
        <v/>
      </c>
      <c r="I18" s="42" t="inlineStr">
        <is>
          <t>Falla solo reposo inicial. IEC: TON estándar, no TOF.</t>
        </is>
      </c>
      <c r="J18" s="42" t="inlineStr">
        <is>
          <t>Sin contradicciones; arranque inicial sin forzar deja ventilador activo.</t>
        </is>
      </c>
      <c r="K18" s="42" t="inlineStr">
        <is>
          <t>Comentario de lógica bien detallado.</t>
        </is>
      </c>
      <c r="L18" s="42" t="inlineStr">
        <is>
          <t>Sin duplicación; tiempo fijo localizable.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B5-9947</t>
        </is>
      </c>
      <c r="B19" s="39" t="inlineStr">
        <is>
          <t>Compila. Falla 5 de 9 pasos del harness (pasos 2,3,5,7,8; numerados desde 0).</t>
        </is>
      </c>
      <c r="C19" s="41" t="n">
        <v>0</v>
      </c>
      <c r="D19" s="41" t="n">
        <v>2</v>
      </c>
      <c r="E19" s="41" t="n">
        <v>2</v>
      </c>
      <c r="F19" s="41" t="n">
        <v>1</v>
      </c>
      <c r="G19" s="41" t="n">
        <v>2</v>
      </c>
      <c r="H19" s="40">
        <f>IF(COUNT(C19:G19)=5,SUM(C19:G19),"")</f>
        <v/>
      </c>
      <c r="I19" s="42" t="inlineStr">
        <is>
          <t>No cumple post-enfriamiento: retardo invertido.</t>
        </is>
      </c>
      <c r="J19" s="42" t="inlineStr">
        <is>
          <t>Fórmula coherente, pero modela retardo a la conexión.</t>
        </is>
      </c>
      <c r="K19" s="42" t="inlineStr">
        <is>
          <t>El comentario y la fórmula no coinciden.</t>
        </is>
      </c>
      <c r="L19" s="42" t="inlineStr">
        <is>
          <t>Estructura mínima; tiempo fijo fácil de localizar.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B5-4296</t>
        </is>
      </c>
      <c r="B20" s="39" t="inlineStr">
        <is>
          <t>Compila. Falla 1 de 9 pasos del harness (pasos 0; numerados desde 0).</t>
        </is>
      </c>
      <c r="C20" s="41" t="n">
        <v>1</v>
      </c>
      <c r="D20" s="41" t="n">
        <v>2</v>
      </c>
      <c r="E20" s="41" t="n">
        <v>2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Falla solo el reposo inicial; IEC estándar con TON.</t>
        </is>
      </c>
      <c r="J20" s="42" t="inlineStr">
        <is>
          <t>Sin contradicciones; temporizador rearmable al reencender.</t>
        </is>
      </c>
      <c r="K20" s="42" t="inlineStr">
        <is>
          <t>Nombres y comentario correctos, estructura básica.</t>
        </is>
      </c>
      <c r="L20" s="42" t="inlineStr">
        <is>
          <t>T#30S único en la llamada al temporizador.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B5-7882</t>
        </is>
      </c>
      <c r="B21" s="39" t="inlineStr">
        <is>
          <t>Compila. Falla 2 de 9 pasos del harness (pasos 0,7; numerados desde 0).</t>
        </is>
      </c>
      <c r="C21" s="41" t="n">
        <v>1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Falla reposo y rearme durante pulso; TP estándar pero no apropiado.</t>
        </is>
      </c>
      <c r="J21" s="42" t="inlineStr">
        <is>
          <t>Sin contradicciones; TP no garantiza post-enfriamiento rearmable.</t>
        </is>
      </c>
      <c r="K21" s="42" t="inlineStr">
        <is>
          <t>Comentarios útiles y nombres descriptivos.</t>
        </is>
      </c>
      <c r="L21" s="42" t="inlineStr">
        <is>
          <t>Tiempo fijo una vez; lógica simple.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B5-6010</t>
        </is>
      </c>
      <c r="B22" s="39" t="inlineStr">
        <is>
          <t>Compila. Falla 3 de 9 pasos del harness (pasos 0,5,7; numerados desde 0).</t>
        </is>
      </c>
      <c r="C22" s="41" t="n">
        <v>1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Falla reposo y rearme por enclavamiento; IEC con TON compila.</t>
        </is>
      </c>
      <c r="J22" s="42" t="inlineStr">
        <is>
          <t>timerDone queda enclavado e impide nuevos ciclos de apagado.</t>
        </is>
      </c>
      <c r="K22" s="42" t="inlineStr">
        <is>
          <t>Nombres descriptivos, pero la bandera no muestra su efecto de enclavamiento.</t>
        </is>
      </c>
      <c r="L22" s="42" t="inlineStr">
        <is>
          <t>Acoplamiento con bandera dificulta modificar el comportamiento.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B5-8869</t>
        </is>
      </c>
      <c r="B23" s="39" t="inlineStr">
        <is>
          <t>Compila. Falla 2 de 9 pasos del harness (pasos 0,7; numerados desde 0).</t>
        </is>
      </c>
      <c r="C23" s="41" t="n">
        <v>1</v>
      </c>
      <c r="D23" s="41" t="n">
        <v>2</v>
      </c>
      <c r="E23" s="41" t="n">
        <v>2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Falla reposo y rearme durante pulso; TP no es el bloque adecuado.</t>
        </is>
      </c>
      <c r="J23" s="42" t="inlineStr">
        <is>
          <t>No hay contradicciones, pero el TP condiciona mal el rearme.</t>
        </is>
      </c>
      <c r="K23" s="42" t="inlineStr">
        <is>
          <t>Comentarios claros y estructura simple.</t>
        </is>
      </c>
      <c r="L23" s="42" t="inlineStr">
        <is>
          <t>Tiempo fijo y una sola llamada al temporizador.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B5-8798</t>
        </is>
      </c>
      <c r="B24" s="39" t="inlineStr">
        <is>
          <t>Compila sola, pero no se pudo simular: declara las entradas donde el harness no puede escribirlas ('quemadorOn' no es ninguna entrada de 'FB_VENTILADOR').</t>
        </is>
      </c>
      <c r="C24" s="41" t="n">
        <v>0</v>
      </c>
      <c r="D24" s="41" t="n">
        <v>1</v>
      </c>
      <c r="E24" s="41" t="n">
        <v>1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Variables locales en lugar de VAR_INPUT/OUTPUT; no se puede simular ni usar la interfaz.</t>
        </is>
      </c>
      <c r="J24" s="42" t="inlineStr">
        <is>
          <t>Sin entrada real; el código solo opera sobre un valor local no modificable.</t>
        </is>
      </c>
      <c r="K24" s="42" t="inlineStr">
        <is>
          <t>Comentarios describen E/S, pero la declaración es engañosa.</t>
        </is>
      </c>
      <c r="L24" s="42" t="inlineStr">
        <is>
          <t>Requiere rehacer interfaz y temporización.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B5-2379</t>
        </is>
      </c>
      <c r="B25" s="39" t="inlineStr">
        <is>
          <t>Compila. Pasa los 9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Funcional fijado. IEC: TOF idiomático.</t>
        </is>
      </c>
      <c r="J25" s="42" t="inlineStr">
        <is>
          <t>TOF maneja ciclo y rearme sin contradicciones.</t>
        </is>
      </c>
      <c r="K25" s="42" t="inlineStr">
        <is>
          <t>Interfaz clara y comentario breve suficiente.</t>
        </is>
      </c>
      <c r="L25" s="42" t="inlineStr">
        <is>
          <t>Tiempo fijo literal sin constante; sin duplicación.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B5-8170</t>
        </is>
      </c>
      <c r="B26" s="39" t="inlineStr">
        <is>
          <t>Compila. Pasa los 9 pasos del harness.</t>
        </is>
      </c>
      <c r="C26" s="40" t="n">
        <v>3</v>
      </c>
      <c r="D26" s="41" t="n">
        <v>3</v>
      </c>
      <c r="E26" s="41" t="n">
        <v>3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Funcional fijado. IEC: TOF idiomático.</t>
        </is>
      </c>
      <c r="J26" s="42" t="inlineStr">
        <is>
          <t>Lógica directa y robusta por TOF.</t>
        </is>
      </c>
      <c r="K26" s="42" t="inlineStr">
        <is>
          <t>Nombres descriptivos y comentario útil.</t>
        </is>
      </c>
      <c r="L26" s="42" t="inlineStr">
        <is>
          <t>Tiempo fijo localizado; sin duplicación.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B5-2653</t>
        </is>
      </c>
      <c r="B27" s="39" t="inlineStr">
        <is>
          <t>Compila. Falla 5 de 9 pasos del harness (pasos 2,3,5,7,8; numerados desde 0).</t>
        </is>
      </c>
      <c r="C27" s="41" t="n">
        <v>0</v>
      </c>
      <c r="D27" s="41" t="n">
        <v>2</v>
      </c>
      <c r="E27" s="41" t="n">
        <v>2</v>
      </c>
      <c r="F27" s="41" t="n">
        <v>1</v>
      </c>
      <c r="G27" s="41" t="n">
        <v>2</v>
      </c>
      <c r="H27" s="40">
        <f>IF(COUNT(C27:G27)=5,SUM(C27:G27),"")</f>
        <v/>
      </c>
      <c r="I27" s="42" t="inlineStr">
        <is>
          <t>Post-enfriamiento invertido; el ventilador no queda encendido durante los 30 s.</t>
        </is>
      </c>
      <c r="J27" s="42" t="inlineStr">
        <is>
          <t>Fórmula consistente, pero implementa retardo a la conexión.</t>
        </is>
      </c>
      <c r="K27" s="42" t="inlineStr">
        <is>
          <t>El comentario contradice la lógica implementada.</t>
        </is>
      </c>
      <c r="L27" s="42" t="inlineStr">
        <is>
          <t>Estructura simple; tiempo fijo localizado.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B5-2367</t>
        </is>
      </c>
      <c r="B28" s="39" t="inlineStr">
        <is>
          <t>Compila. Falla 2 de 9 pasos del harness (pasos 0,7; numerados desde 0).</t>
        </is>
      </c>
      <c r="C28" s="41" t="n">
        <v>1</v>
      </c>
      <c r="D28" s="41" t="n">
        <v>2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Falla reposo y rearme con TP; IEC estándar.</t>
        </is>
      </c>
      <c r="J28" s="42" t="inlineStr">
        <is>
          <t>Sin contradicciones fuertes, pero TP no se rearma como pide el protocolo.</t>
        </is>
      </c>
      <c r="K28" s="42" t="inlineStr">
        <is>
          <t>Nombres descriptivos y comentarios correctos.</t>
        </is>
      </c>
      <c r="L28" s="42" t="inlineStr">
        <is>
          <t>Tiempo fijo único; lógica simple.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B5-3623</t>
        </is>
      </c>
      <c r="B29" s="39" t="inlineStr">
        <is>
          <t>Compila. Falla 3 de 9 pasos del harness (pasos 2,5,7; numerados desde 0).</t>
        </is>
      </c>
      <c r="C29" s="41" t="n">
        <v>0</v>
      </c>
      <c r="D29" s="41" t="n">
        <v>2</v>
      </c>
      <c r="E29" s="41" t="n">
        <v>0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No implementa post-enfriamiento: el temporizador se resetea cada ciclo y el ventilador queda apagado.</t>
        </is>
      </c>
      <c r="J29" s="42" t="inlineStr">
        <is>
          <t>El reinicio condicionado por NOT timer.Q impide que el temporizador avance.</t>
        </is>
      </c>
      <c r="K29" s="42" t="inlineStr">
        <is>
          <t>Variable timerDone sin uso y comentarios inconsistentes.</t>
        </is>
      </c>
      <c r="L29" s="42" t="inlineStr">
        <is>
          <t>Lógica acoplada y estado confuso; difícil de ajustar.</t>
        </is>
      </c>
      <c r="M29" s="42" t="n"/>
      <c r="N29" s="40">
        <f>IF(COUNT(C29:G29)=5,"Completa","Falta")</f>
        <v/>
      </c>
    </row>
    <row r="30"/>
  </sheetData>
  <dataValidations count="3">
    <dataValidation sqref="C7:C11 C13:C14 C18:C24 C27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B6 — Baliza intermitente (Basico)</t>
        </is>
      </c>
    </row>
    <row r="2" ht="15" customHeight="1" s="22">
      <c r="A2" s="33" t="inlineStr">
        <is>
          <t>Lee cada respuesta por su código en respuestas/Respuestas_B6.html.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B6-4934</t>
        </is>
      </c>
      <c r="B6" s="39" t="inlineStr">
        <is>
          <t>Compila. Falla 1 de 3 pasos del harness (pasos 1;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Falla paso 1 nominal porque la doble llamada al TON impide temporizar; compila con TON estándar pero no idiomático.</t>
        </is>
      </c>
      <c r="J6" s="42" t="inlineStr">
        <is>
          <t>Doble llamada contradictoria al TON reinicia la temporización cada ciclo; estado muerto que impide operar.</t>
        </is>
      </c>
      <c r="K6" s="42" t="inlineStr">
        <is>
          <t>Nombres descriptivos y comentarios básicos, aunque no separa secciones.</t>
        </is>
      </c>
      <c r="L6" s="42" t="inlineStr">
        <is>
          <t>T#1S literal repetido sin constante; modificación de tiempos no localizada.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B6-2374</t>
        </is>
      </c>
      <c r="B7" s="39" t="inlineStr">
        <is>
          <t>Compila. Falla 1 de 3 pasos del harness (pasos 1; numerados desde 0).</t>
        </is>
      </c>
      <c r="C7" s="41" t="n">
        <v>0</v>
      </c>
      <c r="D7" s="41" t="n">
        <v>2</v>
      </c>
      <c r="E7" s="41" t="n">
        <v>0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Falla paso 1 nominal: doble llamada a TON impide el parpadeo; compila con tipos correctos.</t>
        </is>
      </c>
      <c r="J7" s="42" t="inlineStr">
        <is>
          <t>Llamadas al TON en el mismo ciclo se contradicen y el temporizador nunca alcanza Q.</t>
        </is>
      </c>
      <c r="K7" s="42" t="inlineStr">
        <is>
          <t>Nombres y comentarios básicos; estructura simple.</t>
        </is>
      </c>
      <c r="L7" s="42" t="inlineStr">
        <is>
          <t>Tiempo T#1S fijo en código sin constante declarada.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B6-5301</t>
        </is>
      </c>
      <c r="B8" s="39" t="inlineStr">
        <is>
          <t>Compila. Pasa los 3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IEC: compila con TON estándar, pero la lógica con arranque/reinicio no es idiomática.</t>
        </is>
      </c>
      <c r="J8" s="42" t="inlineStr">
        <is>
          <t>Pasa pruebas; hay redundancias y parpadeo interno con reinicio manual, pero sin contradicciones.</t>
        </is>
      </c>
      <c r="K8" s="42" t="inlineStr">
        <is>
          <t>Comentarios útiles y nombres descriptivos; estructura por fases.</t>
        </is>
      </c>
      <c r="L8" s="42" t="inlineStr">
        <is>
          <t>T#1S repetido como literal; sin constante de tiempo parametrizada.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B6-5850</t>
        </is>
      </c>
      <c r="B9" s="39" t="inlineStr">
        <is>
          <t>Compila. Pasa los 3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IEC: TON encadenados correctamente, tipos TIME estándar; generador de pulsos idiomático.</t>
        </is>
      </c>
      <c r="J9" s="42" t="inlineStr">
        <is>
          <t>Transiciones completas y sin alarma apaga/resetea por lógica; comportamiento robusto.</t>
        </is>
      </c>
      <c r="K9" s="42" t="inlineStr">
        <is>
          <t>Nombres descriptivos y comentarios concisos; sin comentarios de porqué.</t>
        </is>
      </c>
      <c r="L9" s="42" t="inlineStr">
        <is>
          <t>Duración T#1S literal en dos PT; cambio futuros poco localizado.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B6-8282</t>
        </is>
      </c>
      <c r="B10" s="39" t="inlineStr">
        <is>
          <t>Compila. Pasa los 3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1</v>
      </c>
      <c r="H10" s="40">
        <f>IF(COUNT(C10:G10)=5,SUM(C10:G10),"")</f>
        <v/>
      </c>
      <c r="I10" s="42" t="inlineStr">
        <is>
          <t>IEC: máquina de estados con TON estándar, PT T#1S; idiomático.</t>
        </is>
      </c>
      <c r="J10" s="42" t="inlineStr">
        <is>
          <t>Máquina de estados completa: sin alarma resets, fases sin estados muertos.</t>
        </is>
      </c>
      <c r="K10" s="42" t="inlineStr">
        <is>
          <t>Estructura clara por fases, comentarios explican porqué; nombres descriptivos.</t>
        </is>
      </c>
      <c r="L10" s="42" t="inlineStr">
        <is>
          <t>Sin constantes de tiempo; T#1S repetido en varias llamadas.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B6-1513</t>
        </is>
      </c>
      <c r="B11" s="39" t="inlineStr">
        <is>
          <t>Compila. Falla 1 de 3 pasos del harness (pasos 1; numerados desde 0).</t>
        </is>
      </c>
      <c r="C11" s="41" t="n">
        <v>0</v>
      </c>
      <c r="D11" s="41" t="n">
        <v>2</v>
      </c>
      <c r="E11" s="41" t="n">
        <v>0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Falla paso 1 nominal: no usa temporizador para conmutar, cambia cada scan; TP estándar compila.</t>
        </is>
      </c>
      <c r="J11" s="42" t="inlineStr">
        <is>
          <t>Temporizador TP sin efecto; estado cambia cada ciclo, contradice el tiempo pedido.</t>
        </is>
      </c>
      <c r="K11" s="42" t="inlineStr">
        <is>
          <t>Nombres claros pero comentario incorrecto sobre temporizador.</t>
        </is>
      </c>
      <c r="L11" s="42" t="inlineStr">
        <is>
          <t>T#1S literal sin parametrizar.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B6-5704</t>
        </is>
      </c>
      <c r="B12" s="39" t="inlineStr">
        <is>
          <t>Compila. Falla 1 de 3 pasos del harness (pasos 1; numerados desde 0).</t>
        </is>
      </c>
      <c r="C12" s="41" t="n">
        <v>0</v>
      </c>
      <c r="D12" s="41" t="n">
        <v>2</v>
      </c>
      <c r="E12" s="41" t="n">
        <v>0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Falla paso 1 nominal: TP no retrigguea, parpadeo no continúa; compila con TP.</t>
        </is>
      </c>
      <c r="J12" s="42" t="inlineStr">
        <is>
          <t>Con alarma constante TP genera un único pulso; lámpara queda apagada, impide operar.</t>
        </is>
      </c>
      <c r="K12" s="42" t="inlineStr">
        <is>
          <t>Código simple, nombres descriptivos.</t>
        </is>
      </c>
      <c r="L12" s="42" t="inlineStr">
        <is>
          <t>T#1S literal sin constante.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B6-2528</t>
        </is>
      </c>
      <c r="B13" s="39" t="inlineStr">
        <is>
          <t>Compila. Pasa los 3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IEC: compila con TON y PT T#1S; lógica de reinicio manual poco idiomática.</t>
        </is>
      </c>
      <c r="J13" s="42" t="inlineStr">
        <is>
          <t>Pasa pruebas; mecanismo de arranque redundante, sin contradicciones graves.</t>
        </is>
      </c>
      <c r="K13" s="42" t="inlineStr">
        <is>
          <t>Comentarios y nombres adecuados; algo repetitivo.</t>
        </is>
      </c>
      <c r="L13" s="42" t="inlineStr">
        <is>
          <t>T#1S literal y lógica de tiempo dispersa;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B6-6083</t>
        </is>
      </c>
      <c r="B14" s="39" t="inlineStr">
        <is>
          <t>Compila. Pasa los 3 pasos del harness.</t>
        </is>
      </c>
      <c r="C14" s="40" t="n">
        <v>3</v>
      </c>
      <c r="D14" s="41" t="n">
        <v>2</v>
      </c>
      <c r="E14" s="41" t="n">
        <v>2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IEC: TON estándar, pero libre y con resets manuales poco idiomático.</t>
        </is>
      </c>
      <c r="J14" s="42" t="inlineStr">
        <is>
          <t>Lógica funcional; temporizador sin reinicio en reposo y fase inicial dependiente del scan.</t>
        </is>
      </c>
      <c r="K14" s="42" t="inlineStr">
        <is>
          <t>Nombres claros y comentarios de sección; inicialización comentada.</t>
        </is>
      </c>
      <c r="L14" s="42" t="inlineStr">
        <is>
          <t>T#1S fijo; lógica de reinicio repetida.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B6-8430</t>
        </is>
      </c>
      <c r="B15" s="39" t="inlineStr">
        <is>
          <t>Compila. Pasa los 3 pasos del harness.</t>
        </is>
      </c>
      <c r="C15" s="40" t="n">
        <v>3</v>
      </c>
      <c r="D15" s="41" t="n">
        <v>2</v>
      </c>
      <c r="E15" s="41" t="n">
        <v>2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IEC: TON estándar, uso free-running con reinicio manual; no idiomático.</t>
        </is>
      </c>
      <c r="J15" s="42" t="inlineStr">
        <is>
          <t>Funcional; temporizador queda sin reset sin alarma, pero no afecta salida.</t>
        </is>
      </c>
      <c r="K15" s="42" t="inlineStr">
        <is>
          <t>Nombres descriptivos y comentarios básicos.</t>
        </is>
      </c>
      <c r="L15" s="42" t="inlineStr">
        <is>
          <t>T#1S literal; sin parametrizar.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B6-6488</t>
        </is>
      </c>
      <c r="B16" s="39" t="inlineStr">
        <is>
          <t>Compila. Pasa los 3 pasos del harness.</t>
        </is>
      </c>
      <c r="C16" s="40" t="n">
        <v>3</v>
      </c>
      <c r="D16" s="41" t="n">
        <v>3</v>
      </c>
      <c r="E16" s="41" t="n">
        <v>2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IEC: TON auto-reset con alternancia, TIME correcto; idiomático.</t>
        </is>
      </c>
      <c r="J16" s="42" t="inlineStr">
        <is>
          <t>Pasa pruebas; sin alarma no resetea estadoParpadeo, lo que cambia fase al reactivar.</t>
        </is>
      </c>
      <c r="K16" s="42" t="inlineStr">
        <is>
          <t>Comentarios y nombres descriptivos.</t>
        </is>
      </c>
      <c r="L16" s="42" t="inlineStr">
        <is>
          <t>T#1S literal; no usa constante declarada.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B6-9731</t>
        </is>
      </c>
      <c r="B17" s="39" t="inlineStr">
        <is>
          <t>Compila. Falla 1 de 3 pasos del harness (pasos 1; numerados desde 0).</t>
        </is>
      </c>
      <c r="C17" s="41" t="n">
        <v>0</v>
      </c>
      <c r="D17" s="41" t="n">
        <v>2</v>
      </c>
      <c r="E17" s="41" t="n">
        <v>0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Falla paso 1 nominal: TP solo da pulso único, no parpadeo continuo; compila.</t>
        </is>
      </c>
      <c r="J17" s="42" t="inlineStr">
        <is>
          <t>La salida depende de TP.Q y queda apagada tras el primer pulso.</t>
        </is>
      </c>
      <c r="K17" s="42" t="inlineStr">
        <is>
          <t>Código simple y legible.</t>
        </is>
      </c>
      <c r="L17" s="42" t="inlineStr">
        <is>
          <t>T#1S literal.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B6-2737</t>
        </is>
      </c>
      <c r="B18" s="39" t="inlineStr">
        <is>
          <t>Compila. Pasa los 3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IEC: dos TON encadenados generan ciclo 1s/1s; idiomático y tipos correctos.</t>
        </is>
      </c>
      <c r="J18" s="42" t="inlineStr">
        <is>
          <t>Sin contradicciones, transiciones completas y robusta.</t>
        </is>
      </c>
      <c r="K18" s="42" t="inlineStr">
        <is>
          <t>Nombres descriptivos y comentarios breves.</t>
        </is>
      </c>
      <c r="L18" s="42" t="inlineStr">
        <is>
          <t>T#1S literal en dos PT, sin constante.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B6-7900</t>
        </is>
      </c>
      <c r="B19" s="39" t="inlineStr">
        <is>
          <t>Compila. Falla 1 de 3 pasos del harness (pasos 1;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Falla paso 1 nominal: parpadeo incorrecto ON largo y OFF casi nulo; compila con TON.</t>
        </is>
      </c>
      <c r="J19" s="42" t="inlineStr">
        <is>
          <t>Transición apagada mal modelada; parpadeo se cumple solo un scan apagado.</t>
        </is>
      </c>
      <c r="K19" s="42" t="inlineStr">
        <is>
          <t>Nombres adecuados y comentarios por fases.</t>
        </is>
      </c>
      <c r="L19" s="42" t="inlineStr">
        <is>
          <t>T#1S literal sin constantes.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B6-3083</t>
        </is>
      </c>
      <c r="B20" s="39" t="inlineStr">
        <is>
          <t>Compila. Pasa los 3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42" t="inlineStr">
        <is>
          <t>IEC: máquina de estados con TON estándar, PT T#1S; idiomático.</t>
        </is>
      </c>
      <c r="J20" s="42" t="inlineStr">
        <is>
          <t>Fases completas, inicialización explícita y resets sin alarma; robusta.</t>
        </is>
      </c>
      <c r="K20" s="42" t="inlineStr">
        <is>
          <t>Comentarios de sección y por fase; nombres consistente.</t>
        </is>
      </c>
      <c r="L20" s="42" t="inlineStr">
        <is>
          <t>Duración repetida T#1S; sin parámetro de tiempo declarado.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B6-2545</t>
        </is>
      </c>
      <c r="B21" s="39" t="inlineStr">
        <is>
          <t>Compila. Pasa los 3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IEC: TON estándar, aunque free-running con control poco idiomático.</t>
        </is>
      </c>
      <c r="J21" s="42" t="inlineStr">
        <is>
          <t>Pasa pruebas; temporizador puede quedar en Q sin alarma y alterar fase al volver.</t>
        </is>
      </c>
      <c r="K21" s="42" t="inlineStr">
        <is>
          <t>Nombres descriptivos y comentarios básicos.</t>
        </is>
      </c>
      <c r="L21" s="42" t="inlineStr">
        <is>
          <t>T#1S literal; no parametrizado.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B6-7904</t>
        </is>
      </c>
      <c r="B22" s="39" t="inlineStr">
        <is>
          <t>Compila. Pasa los 3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IEC: dos TON encadenados, T#1S estándar; patrón idiomático.</t>
        </is>
      </c>
      <c r="J22" s="42" t="inlineStr">
        <is>
          <t>Ciclo astable correcto y sin alarma apaga/resetea.</t>
        </is>
      </c>
      <c r="K22" s="42" t="inlineStr">
        <is>
          <t>Nombres y comentarios claros.</t>
        </is>
      </c>
      <c r="L22" s="42" t="inlineStr">
        <is>
          <t>T#1S literal repetido; sin constante.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B6-5267</t>
        </is>
      </c>
      <c r="B23" s="39" t="inlineStr">
        <is>
          <t>Compila. Pasa los 3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IEC: TON encadenado idiomático, tipos TIME correctos.</t>
        </is>
      </c>
      <c r="J23" s="42" t="inlineStr">
        <is>
          <t>Transiciones completas, robusta ante alarma/desactivación.</t>
        </is>
      </c>
      <c r="K23" s="42" t="inlineStr">
        <is>
          <t>Comentarios breves, nombres descriptivos.</t>
        </is>
      </c>
      <c r="L23" s="42" t="inlineStr">
        <is>
          <t>T#1S literal; no constante declarada.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B6-2365</t>
        </is>
      </c>
      <c r="B24" s="39" t="inlineStr">
        <is>
          <t>Compila. Pasa los 3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1</v>
      </c>
      <c r="H24" s="40">
        <f>IF(COUNT(C24:G24)=5,SUM(C24:G24),"")</f>
        <v/>
      </c>
      <c r="I24" s="42" t="inlineStr">
        <is>
          <t>IEC: máquina de estados con TON estándar; idiomático.</t>
        </is>
      </c>
      <c r="J24" s="42" t="inlineStr">
        <is>
          <t>Fases claras, resets sin alarma, inicialización explícita.</t>
        </is>
      </c>
      <c r="K24" s="42" t="inlineStr">
        <is>
          <t>Comentarios por bloque y por fase; estructura ordenada.</t>
        </is>
      </c>
      <c r="L24" s="42" t="inlineStr">
        <is>
          <t>T#1S literal repetido; sin parámetro de tiempo.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B6-3667</t>
        </is>
      </c>
      <c r="B25" s="39" t="inlineStr">
        <is>
          <t>Compila. Pasa los 3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IEC: dos TON encadenados correctamente, T#1S; idiomático.</t>
        </is>
      </c>
      <c r="J25" s="42" t="inlineStr">
        <is>
          <t>Lógica de ciclo completa; robusta.</t>
        </is>
      </c>
      <c r="K25" s="42" t="inlineStr">
        <is>
          <t>Nombres descriptivos y comentarios breves.</t>
        </is>
      </c>
      <c r="L25" s="42" t="inlineStr">
        <is>
          <t>T#1S literal; no constante.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B6-7194</t>
        </is>
      </c>
      <c r="B26" s="39" t="inlineStr">
        <is>
          <t>Compila. Pasa los 3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IEC: TON encadenados estándar; idiomático.</t>
        </is>
      </c>
      <c r="J26" s="42" t="inlineStr">
        <is>
          <t>Transiciones completas, sin alarma apaga/resetea.</t>
        </is>
      </c>
      <c r="K26" s="42" t="inlineStr">
        <is>
          <t>Código conciso, nombres claros.</t>
        </is>
      </c>
      <c r="L26" s="42" t="inlineStr">
        <is>
          <t>T#1S fijo sin parametrizar.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B6-1976</t>
        </is>
      </c>
      <c r="B27" s="39" t="inlineStr">
        <is>
          <t>Compila. Pasa los 3 pasos del harness.</t>
        </is>
      </c>
      <c r="C27" s="40" t="n">
        <v>3</v>
      </c>
      <c r="D27" s="41" t="n">
        <v>3</v>
      </c>
      <c r="E27" s="41" t="n">
        <v>2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IEC: TON auto-reset con alternancia; idiomático.</t>
        </is>
      </c>
      <c r="J27" s="42" t="inlineStr">
        <is>
          <t>Pasa pruebas; sin alarma no resetea estadoParpadeo, fase depende de reactivación.</t>
        </is>
      </c>
      <c r="K27" s="42" t="inlineStr">
        <is>
          <t>Nombres y comentarios correctos.</t>
        </is>
      </c>
      <c r="L27" s="42" t="inlineStr">
        <is>
          <t>T#1S literal; no constante.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B6-9476</t>
        </is>
      </c>
      <c r="B28" s="39" t="inlineStr">
        <is>
          <t>Compila. Falla 1 de 3 pasos del harness (pasos 1; numerados desde 0).</t>
        </is>
      </c>
      <c r="C28" s="41" t="n">
        <v>0</v>
      </c>
      <c r="D28" s="41" t="n">
        <v>2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Falla paso 1 nominal: doble llamada reset/start impide temporizar; compila con TON.</t>
        </is>
      </c>
      <c r="J28" s="42" t="inlineStr">
        <is>
          <t>La primera llamada con estadoParpadeo anula el arranque del temporizador cada scan.</t>
        </is>
      </c>
      <c r="K28" s="42" t="inlineStr">
        <is>
          <t>Comentarios y nombres básicos.</t>
        </is>
      </c>
      <c r="L28" s="42" t="inlineStr">
        <is>
          <t>T#1S literal sin constante.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B6-1094</t>
        </is>
      </c>
      <c r="B29" s="39" t="inlineStr">
        <is>
          <t>Compila. Pasa los 3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IEC: TON estándar auto-reset con alternancia; idiomático.</t>
        </is>
      </c>
      <c r="J29" s="42" t="inlineStr">
        <is>
          <t>Resetea estado sin alarma y transiciones correctas; robusta.</t>
        </is>
      </c>
      <c r="K29" s="42" t="inlineStr">
        <is>
          <t>Nombres claros y comentarios útiles.</t>
        </is>
      </c>
      <c r="L29" s="42" t="inlineStr">
        <is>
          <t>T#1S literal; no parametrizado.</t>
        </is>
      </c>
      <c r="M29" s="42" t="n"/>
      <c r="N29" s="40">
        <f>IF(COUNT(C29:G29)=5,"Completa","Falta")</f>
        <v/>
      </c>
    </row>
    <row r="30"/>
  </sheetData>
  <dataValidations count="3">
    <dataValidation sqref="C6:C7 C11:C12 C17 C19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B7 — Selector manual/automático (POU a elección) (Basico)</t>
        </is>
      </c>
    </row>
    <row r="2" ht="15" customHeight="1" s="22">
      <c r="A2" s="33" t="inlineStr">
        <is>
          <t>Lee cada respuesta por su código en respuestas/Respuestas_B7.html.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B7-9815</t>
        </is>
      </c>
      <c r="B6" s="39" t="inlineStr">
        <is>
          <t>Compila. Pasa los 10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sin cambios y declara tipos BOOL correctamente; el FB es válido, aunque una FUNCTION sería más idiomática para lógica combinacional pura.</t>
        </is>
      </c>
      <c r="J6" s="42" t="inlineStr">
        <is>
          <t>Sin contradicciones ni estado interno; la expresión cubre todas las combinaciones de entradas.</t>
        </is>
      </c>
      <c r="K6" s="42" t="inlineStr">
        <is>
          <t>Nombres descriptivos y comentarios breves; estructura plana pero clara.</t>
        </is>
      </c>
      <c r="L6" s="42" t="inlineStr">
        <is>
          <t>Cambios localizados en una única expresión booleana con entradas bien declaradas.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B7-2790</t>
        </is>
      </c>
      <c r="B7" s="39" t="inlineStr">
        <is>
          <t>Compila. Pasa los 10 pasos del harness.</t>
        </is>
      </c>
      <c r="C7" s="40" t="n">
        <v>3</v>
      </c>
      <c r="D7" s="41" t="n">
        <v>2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Compila sin cambios y con declaraciones correctas; el FB es aceptable, aunque para salida combinacional pura la FUNCTION sería más idiomática.</t>
        </is>
      </c>
      <c r="J7" s="42" t="inlineStr">
        <is>
          <t>Sin contradicciones ni estado; la expresión cubre todos los casos de entrada.</t>
        </is>
      </c>
      <c r="K7" s="42" t="inlineStr">
        <is>
          <t>Nombres y comentarios claros; estructura simple.</t>
        </is>
      </c>
      <c r="L7" s="42" t="inlineStr">
        <is>
          <t>Lógica localizada y sin valores mágicos; fácil modificar la expresión.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B7-2011</t>
        </is>
      </c>
      <c r="B8" s="39" t="inlineStr">
        <is>
          <t>Compila. Pasa los 10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Función combinacional pura, compila sin cambios, tipos BOOL correctos y POU adecuado.</t>
        </is>
      </c>
      <c r="J8" s="42" t="inlineStr">
        <is>
          <t>Sin contradicciones ni memoria; cubre las ocho combinaciones de entrada.</t>
        </is>
      </c>
      <c r="K8" s="42" t="inlineStr">
        <is>
          <t>Nombres descriptivos y comentario breve; se entiende de inmediato.</t>
        </is>
      </c>
      <c r="L8" s="42" t="inlineStr">
        <is>
          <t>Entradas parametrizadas en VAR_INPUT y lógica en una línea; modificación localizada.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B7-9657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Función pura correcta y compila sin cambios; POU adecuado y tipos BOOL correctos.</t>
        </is>
      </c>
      <c r="J9" s="42" t="inlineStr">
        <is>
          <t>Sin estado ni contradicciones; la expresión define todos los casos posibles.</t>
        </is>
      </c>
      <c r="K9" s="42" t="inlineStr">
        <is>
          <t>Comentarios breves y nombres claros; código directo.</t>
        </is>
      </c>
      <c r="L9" s="42" t="inlineStr">
        <is>
          <t>Lógica sin duplicación y con entradas bien declaradas; fácil de retocar.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B7-9128</t>
        </is>
      </c>
      <c r="B10" s="39" t="inlineStr">
        <is>
          <t>Compila. Pasa los 10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Función correcta, compila sin cambios y usa IF/ELSE estándar; POU idiomático para lógica sin memoria.</t>
        </is>
      </c>
      <c r="J10" s="42" t="inlineStr">
        <is>
          <t>Todas las ramas cubiertas, sin contradicciones y sin estado interno.</t>
        </is>
      </c>
      <c r="K10" s="42" t="inlineStr">
        <is>
          <t>Comentarios breves y estructura IF clara.</t>
        </is>
      </c>
      <c r="L10" s="42" t="inlineStr">
        <is>
          <t>Decisiones aisladas en un solo POU; fácil ampliar añadiendo ramas.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B7-4683</t>
        </is>
      </c>
      <c r="B11" s="39" t="inlineStr">
        <is>
          <t>Compila. Pasa los 10 pasos del harness.</t>
        </is>
      </c>
      <c r="C11" s="40" t="n">
        <v>3</v>
      </c>
      <c r="D11" s="41" t="n">
        <v>2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Compila sin cambios y declara tipos BOOL correctos; el FB es válido, aunque la FUNCTION sería más idiomática para lógica combinacional.</t>
        </is>
      </c>
      <c r="J11" s="42" t="inlineStr">
        <is>
          <t>Sin contradicciones ni memoria; el IF/ELSE cubre todas las combinaciones.</t>
        </is>
      </c>
      <c r="K11" s="42" t="inlineStr">
        <is>
          <t>Nombres descriptivos y comentarios breves; estructura clara.</t>
        </is>
      </c>
      <c r="L11" s="42" t="inlineStr">
        <is>
          <t>Cambios localizados y entradas declaradas formalmente; buena base para lógicas sencillas.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B7-2454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Función pura compila sin cambios; elección de FUNCTION justificada y tipos correctos.</t>
        </is>
      </c>
      <c r="J12" s="42" t="inlineStr">
        <is>
          <t>Expresión booleana sin estado y sin contradicciones; cubre todas las combinaciones.</t>
        </is>
      </c>
      <c r="K12" s="42" t="inlineStr">
        <is>
          <t>Comentario que explica el porqué de la FUNCTION y lógica clara; estructura limpia.</t>
        </is>
      </c>
      <c r="L12" s="42" t="inlineStr">
        <is>
          <t>Entradas declaradas formalmente y lógica sin duplicación; extensión sencilla.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B7-5501</t>
        </is>
      </c>
      <c r="B13" s="39" t="inlineStr">
        <is>
          <t>Compila. Pasa los 10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Función pura, compila sin cambios y declara tipos BOOL correctos; POU adecuado.</t>
        </is>
      </c>
      <c r="J13" s="42" t="inlineStr">
        <is>
          <t>Sin memoria y sin contradicciones; la expresión cubre todos los casos.</t>
        </is>
      </c>
      <c r="K13" s="42" t="inlineStr">
        <is>
          <t>Nombres descriptivos y comentarios breves; código directo.</t>
        </is>
      </c>
      <c r="L13" s="42" t="inlineStr">
        <is>
          <t>Cambio localizado en una única expresión con entradas parametrizadas.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B7-1125</t>
        </is>
      </c>
      <c r="B14" s="39" t="inlineStr">
        <is>
          <t>Compila. Pasa los 10 pasos del harness.</t>
        </is>
      </c>
      <c r="C14" s="40" t="n">
        <v>3</v>
      </c>
      <c r="D14" s="41" t="n">
        <v>2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Compila sin cambios con tipos correctos; FB válido, aunque para lógica sin memoria la FUNCTION es más idiomática.</t>
        </is>
      </c>
      <c r="J14" s="42" t="inlineStr">
        <is>
          <t>Sin contradicciones ni estado; IF/ELSE cubre todas las combinaciones de entrada.</t>
        </is>
      </c>
      <c r="K14" s="42" t="inlineStr">
        <is>
          <t>Comentarios breves y nombres descriptivos; estructura simple.</t>
        </is>
      </c>
      <c r="L14" s="42" t="inlineStr">
        <is>
          <t>Entradas y salida bien declaradas; lógica localizada y fácil de modificar.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B7-3058</t>
        </is>
      </c>
      <c r="B15" s="39" t="inlineStr">
        <is>
          <t>Compila. Pasa los 10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Función compila sin cambios y usa IF/ELSE estándar; POU adecuado y tipos BOOL correctos.</t>
        </is>
      </c>
      <c r="J15" s="42" t="inlineStr">
        <is>
          <t>Sin estado ni contradicciones; la salida cubre todos los casos de entrada.</t>
        </is>
      </c>
      <c r="K15" s="42" t="inlineStr">
        <is>
          <t>Buenos comentarios que explican por qué FUNCTION y nota con expresión alternativa; muy claro.</t>
        </is>
      </c>
      <c r="L15" s="42" t="inlineStr">
        <is>
          <t>Cambios localizados; lógica sin duplicar y entradas bien declaradas.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B7-1392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Función pura correcta y compila sin cambios; POU adecuado y tipos BOOL correctos.</t>
        </is>
      </c>
      <c r="J16" s="42" t="inlineStr">
        <is>
          <t>Sin memoria ni contradicciones; la expresión cubre todas las combinaciones.</t>
        </is>
      </c>
      <c r="K16" s="42" t="inlineStr">
        <is>
          <t>Nombres claros y comentario breve; código autodescriptivo.</t>
        </is>
      </c>
      <c r="L16" s="42" t="inlineStr">
        <is>
          <t>Lógica en una única expresión, sin duplicación; fácil modificar.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B7-8494</t>
        </is>
      </c>
      <c r="B17" s="39" t="inlineStr">
        <is>
          <t>Compila. Pasa los 10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Función compila sin cambios; POU adecuado para salida combinacional y tipos correctos.</t>
        </is>
      </c>
      <c r="J17" s="42" t="inlineStr">
        <is>
          <t>Sin memoria y sin contradicciones; todas las combinaciones quedan definidas.</t>
        </is>
      </c>
      <c r="K17" s="42" t="inlineStr">
        <is>
          <t>Comentario justifica la elección de FUNCTION y describe la lógica; código autodocumentado.</t>
        </is>
      </c>
      <c r="L17" s="42" t="inlineStr">
        <is>
          <t>Lógica en una expresión sin duplicación; fácil modificar o reutilizar.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B7-9820</t>
        </is>
      </c>
      <c r="B18" s="39" t="inlineStr">
        <is>
          <t>Compila. Pasa los 10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Función pura, compila sin cambios y con tipos BOOL correctos; POU adecuado.</t>
        </is>
      </c>
      <c r="J18" s="42" t="inlineStr">
        <is>
          <t>Sin contradicciones ni estado; la expresión cubre todos los casos de entrada.</t>
        </is>
      </c>
      <c r="K18" s="42" t="inlineStr">
        <is>
          <t>Nombres descriptivos y comentarios breves; código directo.</t>
        </is>
      </c>
      <c r="L18" s="42" t="inlineStr">
        <is>
          <t>Cambios localizados y entradas parametrizadas; sin lógica duplicada.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B7-5108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Función correcta y compila sin cambios; POU adecuado y tipos BOOL correctos.</t>
        </is>
      </c>
      <c r="J19" s="42" t="inlineStr">
        <is>
          <t>Sin memoria y sin contradicciones; IF/ELSE cubre todas las combinaciones.</t>
        </is>
      </c>
      <c r="K19" s="42" t="inlineStr">
        <is>
          <t>Nombres descriptivos y comentarios claros; estructura indentada y simple.</t>
        </is>
      </c>
      <c r="L19" s="42" t="inlineStr">
        <is>
          <t>Lógica localizada con entradas bien declaradas; fácil modificar.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B7-1829</t>
        </is>
      </c>
      <c r="B20" s="39" t="inlineStr">
        <is>
          <t>Compila. Pasa los 10 pasos del harness.</t>
        </is>
      </c>
      <c r="C20" s="40" t="n">
        <v>3</v>
      </c>
      <c r="D20" s="41" t="n">
        <v>2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Compila sin cambios y declara tipos BOOL correctos; FB válido, aunque FUNCTION sería más idiomático para lógica sin memoria.</t>
        </is>
      </c>
      <c r="J20" s="42" t="inlineStr">
        <is>
          <t>Sin contradicciones ni estado; IF/ELSE cubre todas las combinaciones de entrada.</t>
        </is>
      </c>
      <c r="K20" s="42" t="inlineStr">
        <is>
          <t>Nombres descriptivos y comentarios breves; estructura clara.</t>
        </is>
      </c>
      <c r="L20" s="42" t="inlineStr">
        <is>
          <t>Entradas y salida formalmente declaradas; cambios localizados.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B7-4839</t>
        </is>
      </c>
      <c r="B21" s="39" t="inlineStr">
        <is>
          <t>Compila sola, pero no se pudo simular: declara las entradas donde el harness no puede escribirlas ('modoAuto' no es ninguna entrada de 'SELBOMBA').</t>
        </is>
      </c>
      <c r="C21" s="41" t="n">
        <v>1</v>
      </c>
      <c r="D21" s="41" t="n">
        <v>2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Lógica interna correcta pero no operativa por interfaz; al declarar entradas en VAR no expone las entradas pedidas, aunque compila con tipos correctos.</t>
        </is>
      </c>
      <c r="J21" s="42" t="inlineStr">
        <is>
          <t>La lógica IF/ELSE es coherente y sin estado, pero las variables internas no reciben señales externas.</t>
        </is>
      </c>
      <c r="K21" s="42" t="inlineStr">
        <is>
          <t>Nombres descriptivos y comentarios; confunde al llamar entrada a variables internas.</t>
        </is>
      </c>
      <c r="L21" s="42" t="inlineStr">
        <is>
          <t>Requiere reescribir la declaración a VAR_INPUT/OUTPUT para integrarse; poco reaprovechable.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B7-7130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Función pura, compila sin cambios y con tipos BOOL correctos; POU adecuado.</t>
        </is>
      </c>
      <c r="J22" s="42" t="inlineStr">
        <is>
          <t>Sin memoria y sin contradicciones; la expresión cubre todas las combinaciones de entrada.</t>
        </is>
      </c>
      <c r="K22" s="42" t="inlineStr">
        <is>
          <t>Nombres descriptivos y comentario breve; código sencillo.</t>
        </is>
      </c>
      <c r="L22" s="42" t="inlineStr">
        <is>
          <t>Lógica en una línea sin duplicar; entradas bien declaradas y cambios simples.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B7-3281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Función correcta y compila sin cambios; POU adecuado y tipos BOOL correctos.</t>
        </is>
      </c>
      <c r="J23" s="42" t="inlineStr">
        <is>
          <t>Sin contradicciones ni memoria; IF/ELSE cubre todas las combinaciones.</t>
        </is>
      </c>
      <c r="K23" s="42" t="inlineStr">
        <is>
          <t>Nombres descriptivos y comentarios útiles; estructura indentada clara.</t>
        </is>
      </c>
      <c r="L23" s="42" t="inlineStr">
        <is>
          <t>Decisiones localizadas y entradas parametrizadas; modificación sencilla.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B7-2340</t>
        </is>
      </c>
      <c r="B24" s="39" t="inlineStr">
        <is>
          <t>Compila sola, pero no se pudo simular: declara las entradas donde el harness no puede escribirlas ('modoAuto' no es ninguna entrada de 'SELBOMBA').</t>
        </is>
      </c>
      <c r="C24" s="41" t="n">
        <v>1</v>
      </c>
      <c r="D24" s="41" t="n">
        <v>2</v>
      </c>
      <c r="E24" s="41" t="n">
        <v>2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Lógica interna correcta pero interfaz no conforme: las variables en VAR no son entradas de SELBOMBA; compila sin cambios y con tipos BOOL correctos.</t>
        </is>
      </c>
      <c r="J24" s="42" t="inlineStr">
        <is>
          <t>La lógica IF/ELSE es coherente y sin estado, pero no está conectada a entradas reales.</t>
        </is>
      </c>
      <c r="K24" s="42" t="inlineStr">
        <is>
          <t>Nombres y comentarios claros, aunque la declaración de variables confunde su rol.</t>
        </is>
      </c>
      <c r="L24" s="42" t="inlineStr">
        <is>
          <t>Exige cambiar la declaración a VAR_INPUT/OUTPUT para poder integrarse; no es directamente reusable.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B7-9455</t>
        </is>
      </c>
      <c r="B25" s="39" t="inlineStr">
        <is>
          <t>Compila. Pasa los 10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Función pura con tipos correctos y compila sin cambios; elección de FUNCTION idiomática.</t>
        </is>
      </c>
      <c r="J25" s="42" t="inlineStr">
        <is>
          <t>Sin memoria y sin contradicciones; todas las combinaciones de entrada resueltas.</t>
        </is>
      </c>
      <c r="K25" s="42" t="inlineStr">
        <is>
          <t>Comentario que explica por qué la FUNCTION es adecuada y lógica en una línea clara.</t>
        </is>
      </c>
      <c r="L25" s="42" t="inlineStr">
        <is>
          <t>Entradas parametrizadas y sin duplicación; fácil de reutilizar.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B7-4620</t>
        </is>
      </c>
      <c r="B26" s="39" t="inlineStr">
        <is>
          <t>Compila sola, pero no se pudo simular: declara las entradas donde el harness no puede escribirlas ('modoAuto' no es ninguna entrada de 'SELBOMBA').</t>
        </is>
      </c>
      <c r="C26" s="41" t="n">
        <v>1</v>
      </c>
      <c r="D26" s="41" t="n">
        <v>2</v>
      </c>
      <c r="E26" s="41" t="n">
        <v>2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Lógica interna correcta, pero no expone las entradas necesarias; compila y los tipos BOOL son correctos.</t>
        </is>
      </c>
      <c r="J26" s="42" t="inlineStr">
        <is>
          <t>Sin contradicciones ni estado interno, pero las variables no están conectadas a señales externas.</t>
        </is>
      </c>
      <c r="K26" s="42" t="inlineStr">
        <is>
          <t>Nombres descriptivos y comentarios; el uso de VAR como entradas resta claridad.</t>
        </is>
      </c>
      <c r="L26" s="42" t="inlineStr">
        <is>
          <t>Requiere modificar la declaración a VAR_INPUT/OUTPUT para ser utilizable.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B7-4833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Función correcta y compila sin cambios; POU adecuado y tipos BOOL correctos.</t>
        </is>
      </c>
      <c r="J27" s="42" t="inlineStr">
        <is>
          <t>Sin memoria ni contradicciones; IF/ELSE cubre todas las combinaciones de entrada.</t>
        </is>
      </c>
      <c r="K27" s="42" t="inlineStr">
        <is>
          <t>Nombres descriptivos y comentarios breves; estructura IF clara.</t>
        </is>
      </c>
      <c r="L27" s="42" t="inlineStr">
        <is>
          <t>Cambios localizados y entradas bien declaradas; sin lógica duplicada.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B7-3239</t>
        </is>
      </c>
      <c r="B28" s="39" t="inlineStr">
        <is>
          <t>Compila. Pasa los 10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Función pura, compila sin cambios y declara tipos BOOL correctos; POU adecuado.</t>
        </is>
      </c>
      <c r="J28" s="42" t="inlineStr">
        <is>
          <t>Sin contradicciones ni estado; la expresión cubre todas las combinaciones.</t>
        </is>
      </c>
      <c r="K28" s="42" t="inlineStr">
        <is>
          <t>Nombres descriptivos y comentarios breves; código directo.</t>
        </is>
      </c>
      <c r="L28" s="42" t="inlineStr">
        <is>
          <t>Entradas parametrizadas y lógica en una línea; fácil de modificar.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B7-6425</t>
        </is>
      </c>
      <c r="B29" s="39" t="inlineStr">
        <is>
          <t>Compila sola, pero no se pudo simular: declara las entradas donde el harness no puede escribirlas ('modoAuto' no es ninguna entrada de 'SELBOMBA').</t>
        </is>
      </c>
      <c r="C29" s="41" t="n">
        <v>1</v>
      </c>
      <c r="D29" s="41" t="n">
        <v>2</v>
      </c>
      <c r="E29" s="41" t="n">
        <v>2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Lógica interna correcta, pero interfaz no conforme: las variables en VAR no son entradas de SELBOMBA; compila sin cambios y con tipos correctos.</t>
        </is>
      </c>
      <c r="J29" s="42" t="inlineStr">
        <is>
          <t>La lógica IF/ELSE es coherente y sin estado, pero las variables internas no acceden a señales externas.</t>
        </is>
      </c>
      <c r="K29" s="42" t="inlineStr">
        <is>
          <t>Nombres y comentarios claros; confunde al llamar entrada a variables internas.</t>
        </is>
      </c>
      <c r="L29" s="42" t="inlineStr">
        <is>
          <t>Requiere reescribir la declaración a VAR_INPUT/OUTPUT para integrarse; no reusable sin cambios.</t>
        </is>
      </c>
      <c r="M29" s="42" t="n"/>
      <c r="N29" s="40">
        <f>IF(COUNT(C29:G29)=5,"Completa","Falta")</f>
        <v/>
      </c>
    </row>
    <row r="30"/>
  </sheetData>
  <dataValidations count="3">
    <dataValidation sqref="C21 C24 C26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B8 — Conteo de eventos por flanco (Basico)</t>
        </is>
      </c>
    </row>
    <row r="2" ht="15" customHeight="1" s="22">
      <c r="A2" s="33" t="inlineStr">
        <is>
          <t>Lee cada respuesta por su código en respuestas/Respuestas_B8.html.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B8-2855</t>
        </is>
      </c>
      <c r="B6" s="39" t="inlineStr">
        <is>
          <t>Compila. Pasa los 9 pasos del harness.</t>
        </is>
      </c>
      <c r="C6" s="40" t="n">
        <v>3</v>
      </c>
      <c r="D6" s="41" t="n">
        <v>2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Pasa los 9 pasos; ST estándar con detección manual de flanco, sin bloques IEC de borde.</t>
        </is>
      </c>
      <c r="J6" s="42" t="inlineStr">
        <is>
          <t>Sin contradicciones; reset no actualiza el estado anterior, con riesgo sólo si reset coincide con puerta abierta.</t>
        </is>
      </c>
      <c r="K6" s="42" t="inlineStr">
        <is>
          <t>Nombres descriptivos y comentarios de sección; correcto pero no explica el porqué.</t>
        </is>
      </c>
      <c r="L6" s="42" t="inlineStr">
        <is>
          <t>Umbral 5 en un único punto; lógica simple y cambio localizado.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B8-2057</t>
        </is>
      </c>
      <c r="B7" s="39" t="inlineStr">
        <is>
          <t>Compila. Falla 7 de 9 pasos del harness (pasos 1,2,3,4,5,6,8; numerados desde 0).</t>
        </is>
      </c>
      <c r="C7" s="41" t="n">
        <v>0</v>
      </c>
      <c r="D7" s="41" t="n">
        <v>2</v>
      </c>
      <c r="E7" s="41" t="n">
        <v>0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Falla el caso nominal: el flanco nunca cuenta; ST compila y declara tipos correctos.</t>
        </is>
      </c>
      <c r="J7" s="42" t="inlineStr">
        <is>
          <t>La inicialización copia la entrada antes del conteo y anula todo flanco; contador muerto.</t>
        </is>
      </c>
      <c r="K7" s="42" t="inlineStr">
        <is>
          <t>Comentarios de sección presentes, pero el de 'Inicialización' es engañoso.</t>
        </is>
      </c>
      <c r="L7" s="42" t="inlineStr">
        <is>
          <t>Umbral 5 literal; corregir la lógica de inicialización obliga a revisar el flujo.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B8-3959</t>
        </is>
      </c>
      <c r="B8" s="39" t="inlineStr">
        <is>
          <t>Compila. Pasa los 9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Pasa los 9 pasos; R_TRIG instanciado correctamente y ST estándar idiomático.</t>
        </is>
      </c>
      <c r="J8" s="42" t="inlineStr">
        <is>
          <t>Detección de flanco y reset con ELSIF; sin contradicciones y comportamiento robusto.</t>
        </is>
      </c>
      <c r="K8" s="42" t="inlineStr">
        <is>
          <t>Nombres claros y comentarios concisos de qué hace cada bloque.</t>
        </is>
      </c>
      <c r="L8" s="42" t="inlineStr">
        <is>
          <t>Umbral 5 en un único punto; lógica sin duplicación y fácil de ajustar.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B8-6962</t>
        </is>
      </c>
      <c r="B9" s="39" t="inlineStr">
        <is>
          <t>Compila. Pasa los 9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Pasa los 9 pasos; ST estándar con detección manual de flanco.</t>
        </is>
      </c>
      <c r="J9" s="42" t="inlineStr">
        <is>
          <t>Reset con prioridad y actualización del estado anterior en cada ciclo; robusto.</t>
        </is>
      </c>
      <c r="K9" s="42" t="inlineStr">
        <is>
          <t>Nombres descriptivos y comentarios de pasos; claro aunque no explica porqué.</t>
        </is>
      </c>
      <c r="L9" s="42" t="inlineStr">
        <is>
          <t>Umbral 5 en un único punto; cambios localizados.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B8-4908</t>
        </is>
      </c>
      <c r="B10" s="39" t="inlineStr">
        <is>
          <t>Compila. Pasa los 9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Pasa los 9 pasos; R_TRIG estándar bien instanciado y ST idiomático.</t>
        </is>
      </c>
      <c r="J10" s="42" t="inlineStr">
        <is>
          <t>Reset prioritario mediante ELSIF; detección por bloque de flanco robusta.</t>
        </is>
      </c>
      <c r="K10" s="42" t="inlineStr">
        <is>
          <t>Comentarios que indican prioridad e intención; código ordenado.</t>
        </is>
      </c>
      <c r="L10" s="42" t="inlineStr">
        <is>
          <t>Umbral 5 en único punto; sin duplicación de lógica.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B8-3439</t>
        </is>
      </c>
      <c r="B11" s="39" t="inlineStr">
        <is>
          <t>Compila. Pasa los 9 pasos del harness.</t>
        </is>
      </c>
      <c r="C11" s="40" t="n">
        <v>3</v>
      </c>
      <c r="D11" s="41" t="n">
        <v>2</v>
      </c>
      <c r="E11" s="41" t="n">
        <v>2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Pasa los 9 pasos; ST válido con detección manual de flanco.</t>
        </is>
      </c>
      <c r="J11" s="42" t="inlineStr">
        <is>
          <t>Sin contradicciones, pero el reset no enmascara el conteo; un flanco simultáneo incrementaría.</t>
        </is>
      </c>
      <c r="K11" s="42" t="inlineStr">
        <is>
          <t>Nombres y comentarios descriptivos, aunque no explican riesgos.</t>
        </is>
      </c>
      <c r="L11" s="42" t="inlineStr">
        <is>
          <t>Umbral 5 literal; la lógica de reset no aislada requiere reestructuración para robustez.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B8-1092</t>
        </is>
      </c>
      <c r="B12" s="39" t="inlineStr">
        <is>
          <t>Compila. Pasa los 9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los 9 pasos; ST estándar con flanco manual.</t>
        </is>
      </c>
      <c r="J12" s="42" t="inlineStr">
        <is>
          <t>Reset prioritario y estado anterior actualizado en cada ciclo; comportamiento robusto.</t>
        </is>
      </c>
      <c r="K12" s="42" t="inlineStr">
        <is>
          <t>Nombres descriptivos y comentarios claros de cada paso.</t>
        </is>
      </c>
      <c r="L12" s="42" t="inlineStr">
        <is>
          <t>Umbral 5 en único punto; sin duplicación.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B8-3080</t>
        </is>
      </c>
      <c r="B13" s="39" t="inlineStr">
        <is>
          <t>Compila. Pasa los 9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Pasa los 9 pasos; ST válido con detección manual de flanco.</t>
        </is>
      </c>
      <c r="J13" s="42" t="inlineStr">
        <is>
          <t>Reset enmascara el conteo; prev actualizado en cada ciclo; consistente.</t>
        </is>
      </c>
      <c r="K13" s="42" t="inlineStr">
        <is>
          <t>Comentarios por sección y nombres descriptivos; formato claro.</t>
        </is>
      </c>
      <c r="L13" s="42" t="inlineStr">
        <is>
          <t>Umbral 5 localizado; lógica simple.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B8-6589</t>
        </is>
      </c>
      <c r="B14" s="39" t="inlineStr">
        <is>
          <t>Compila. Pasa los 9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Pasa los 9 pasos; R_TRIG estándar bien instanciado.</t>
        </is>
      </c>
      <c r="J14" s="42" t="inlineStr">
        <is>
          <t>Bloque de flanco estándar y reset prioritario; sin estados muertos.</t>
        </is>
      </c>
      <c r="K14" s="42" t="inlineStr">
        <is>
          <t>Comentarios con intención y evaluación de aviso; estructura limpia.</t>
        </is>
      </c>
      <c r="L14" s="42" t="inlineStr">
        <is>
          <t>Umbral 5 único; lógica sin duplicación.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B8-2238</t>
        </is>
      </c>
      <c r="B15" s="39" t="inlineStr">
        <is>
          <t>Compila. Pasa los 9 pasos del harness.</t>
        </is>
      </c>
      <c r="C15" s="40" t="n">
        <v>3</v>
      </c>
      <c r="D15" s="41" t="n">
        <v>2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Pasa los 9 pasos; ST válido con detección manual de flanco.</t>
        </is>
      </c>
      <c r="J15" s="42" t="inlineStr">
        <is>
          <t>Reset prioritario, prev actualizado tras cada ciclo; manejo seguro de simultáneos.</t>
        </is>
      </c>
      <c r="K15" s="42" t="inlineStr">
        <is>
          <t>Sección de lógica y comentarios que explican prioridad y porqué.</t>
        </is>
      </c>
      <c r="L15" s="42" t="inlineStr">
        <is>
          <t>Umbral 5 en único punto; código modular dentro del FB.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B8-4457</t>
        </is>
      </c>
      <c r="B16" s="39" t="inlineStr">
        <is>
          <t>Compila. Pasa los 9 pasos del harness.</t>
        </is>
      </c>
      <c r="C16" s="40" t="n">
        <v>3</v>
      </c>
      <c r="D16" s="41" t="n">
        <v>2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Pasa los 9 pasos; ST estándar con flanco manual.</t>
        </is>
      </c>
      <c r="J16" s="42" t="inlineStr">
        <is>
          <t>Prev actualizado en cada ciclo y reset con prioridad; transiciones completas.</t>
        </is>
      </c>
      <c r="K16" s="42" t="inlineStr">
        <is>
          <t>Nombres y comentarios descriptivos, sin explicar porqué.</t>
        </is>
      </c>
      <c r="L16" s="42" t="inlineStr">
        <is>
          <t>Umbral 5 único; cambio localizado.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B8-7031</t>
        </is>
      </c>
      <c r="B17" s="39" t="inlineStr">
        <is>
          <t>Compila. Pasa los 9 pasos del harness.</t>
        </is>
      </c>
      <c r="C17" s="40" t="n">
        <v>3</v>
      </c>
      <c r="D17" s="41" t="n">
        <v>2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Pasa los 9 pasos; ST válido con detección manual.</t>
        </is>
      </c>
      <c r="J17" s="42" t="inlineStr">
        <is>
          <t>Reset enmascara conteo y prev actualizado siempre; robusto.</t>
        </is>
      </c>
      <c r="K17" s="42" t="inlineStr">
        <is>
          <t>Comentarios claros y nombres descriptivos.</t>
        </is>
      </c>
      <c r="L17" s="42" t="inlineStr">
        <is>
          <t>Umbral 5 en un único punto.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B8-9508</t>
        </is>
      </c>
      <c r="B18" s="39" t="inlineStr">
        <is>
          <t>Compila. Pasa los 9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Pasa los 9 pasos; ST compila con detección manual de flanco.</t>
        </is>
      </c>
      <c r="J18" s="42" t="inlineStr">
        <is>
          <t>Reset no enmascara el conteo y aviso sólo se activa; correcto en secuencia, menos robusto.</t>
        </is>
      </c>
      <c r="K18" s="42" t="inlineStr">
        <is>
          <t>Comentarios por paso y nombres descriptivos.</t>
        </is>
      </c>
      <c r="L18" s="42" t="inlineStr">
        <is>
          <t>Umbral 5 literal; requiere revisar reset/aviso para mejorar robustez.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B8-3862</t>
        </is>
      </c>
      <c r="B19" s="39" t="inlineStr">
        <is>
          <t>Compila. Pasa los 9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Pasa los 9 pasos; R_TRIG estándar bien instanciado.</t>
        </is>
      </c>
      <c r="J19" s="42" t="inlineStr">
        <is>
          <t>Detección por R_TRIG y reset priorizado por ELSIF; robusto.</t>
        </is>
      </c>
      <c r="K19" s="42" t="inlineStr">
        <is>
          <t>Comentarios concisos y nombres descriptivos.</t>
        </is>
      </c>
      <c r="L19" s="42" t="inlineStr">
        <is>
          <t>Umbral 5 único; sin duplicación.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B8-6907</t>
        </is>
      </c>
      <c r="B20" s="39" t="inlineStr">
        <is>
          <t>Compila. Pasa los 9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los 9 pasos; uso idiomático del CTU estándar.</t>
        </is>
      </c>
      <c r="J20" s="42" t="inlineStr">
        <is>
          <t>CTU estándar gestiona flanco y reset; lógica mínima y robusta.</t>
        </is>
      </c>
      <c r="K20" s="42" t="inlineStr">
        <is>
          <t>Código mínimo y claro; una línea de comentario suficiente.</t>
        </is>
      </c>
      <c r="L20" s="42" t="inlineStr">
        <is>
          <t>Umbral pasado a PV en un único punto; diseño compacto.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B8-1323</t>
        </is>
      </c>
      <c r="B21" s="39" t="inlineStr">
        <is>
          <t>Compila. Pasa los 9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Pasa los 9 pasos; ST válido con detección manual de flanco.</t>
        </is>
      </c>
      <c r="J21" s="42" t="inlineStr">
        <is>
          <t>Reset con prioridad y prev actualizado al final; robusto.</t>
        </is>
      </c>
      <c r="K21" s="42" t="inlineStr">
        <is>
          <t>Comentarios descriptivos y estructura ordenada.</t>
        </is>
      </c>
      <c r="L21" s="42" t="inlineStr">
        <is>
          <t>Umbral 5 único; cambio localizado.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B8-4753</t>
        </is>
      </c>
      <c r="B22" s="39" t="inlineStr">
        <is>
          <t>Compila. Pasa los 9 pasos del harness.</t>
        </is>
      </c>
      <c r="C22" s="40" t="n">
        <v>3</v>
      </c>
      <c r="D22" s="41" t="n">
        <v>2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Pasa los 9 pasos; ST válido con detección manual de flanco.</t>
        </is>
      </c>
      <c r="J22" s="42" t="inlineStr">
        <is>
          <t>Reset prioritario, prev actualizado en cada ciclo; evita flanco espurio.</t>
        </is>
      </c>
      <c r="K22" s="42" t="inlineStr">
        <is>
          <t>Comentarios explican prioridad y decisión; excelente estructura.</t>
        </is>
      </c>
      <c r="L22" s="42" t="inlineStr">
        <is>
          <t>Umbral 5 único; lógica clara y sin duplicación.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B8-5019</t>
        </is>
      </c>
      <c r="B23" s="39" t="inlineStr">
        <is>
          <t>Compila. Pasa los 9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Pasa los 9 pasos; R_TRIG estándar bien instanciado.</t>
        </is>
      </c>
      <c r="J23" s="42" t="inlineStr">
        <is>
          <t>Detección por R_TRIG y reset por ELSIF; comportamiento robusto.</t>
        </is>
      </c>
      <c r="K23" s="42" t="inlineStr">
        <is>
          <t>Comentarios explican detección y desactivación automática; claro.</t>
        </is>
      </c>
      <c r="L23" s="42" t="inlineStr">
        <is>
          <t>Umbral 5 en un único punto; sin duplicación.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B8-3064</t>
        </is>
      </c>
      <c r="B24" s="39" t="inlineStr">
        <is>
          <t>Compila. Pasa los 9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Pasa los 9 pasos; R_TRIG estándar bien instanciado.</t>
        </is>
      </c>
      <c r="J24" s="42" t="inlineStr">
        <is>
          <t>R_TRIG y reset prioritario; init correcta.</t>
        </is>
      </c>
      <c r="K24" s="42" t="inlineStr">
        <is>
          <t>Comentarios y nombres descriptivos; estructura clara.</t>
        </is>
      </c>
      <c r="L24" s="42" t="inlineStr">
        <is>
          <t>Umbral 5 único; cambio localizado.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B8-8512</t>
        </is>
      </c>
      <c r="B25" s="39" t="inlineStr">
        <is>
          <t>Compila. Pasa los 9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Pasa los 9 pasos; ST válido con flanco manual.</t>
        </is>
      </c>
      <c r="J25" s="42" t="inlineStr">
        <is>
          <t>Reset priorizado y prev actualizado al final; robusto.</t>
        </is>
      </c>
      <c r="K25" s="42" t="inlineStr">
        <is>
          <t>Comentarios por paso y nombres descriptivos.</t>
        </is>
      </c>
      <c r="L25" s="42" t="inlineStr">
        <is>
          <t>Umbral 5 único; sin duplicación.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B8-6800</t>
        </is>
      </c>
      <c r="B26" s="39" t="inlineStr">
        <is>
          <t>Compila. Pasa los 9 pasos del harness.</t>
        </is>
      </c>
      <c r="C26" s="40" t="n">
        <v>3</v>
      </c>
      <c r="D26" s="41" t="n">
        <v>2</v>
      </c>
      <c r="E26" s="41" t="n">
        <v>3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Pasa los 9 pasos; ST válido con detección manual de flanco.</t>
        </is>
      </c>
      <c r="J26" s="42" t="inlineStr">
        <is>
          <t>Reset prioritario y manejo explícito de flanco espurio; robusto.</t>
        </is>
      </c>
      <c r="K26" s="42" t="inlineStr">
        <is>
          <t>Comentarios explican el porqué de cada decisión; muy claro.</t>
        </is>
      </c>
      <c r="L26" s="42" t="inlineStr">
        <is>
          <t>Umbral 5 único; lógica sin duplicación.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B8-9528</t>
        </is>
      </c>
      <c r="B27" s="39" t="inlineStr">
        <is>
          <t>Compila. Pasa los 9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Pasa los 9 pasos; R_TRIG estándar bien instanciado.</t>
        </is>
      </c>
      <c r="J27" s="42" t="inlineStr">
        <is>
          <t>R_TRIG y reset por ELSIF; sin contradicciones.</t>
        </is>
      </c>
      <c r="K27" s="42" t="inlineStr">
        <is>
          <t>Comentarios descriptivos y estructura ordenada.</t>
        </is>
      </c>
      <c r="L27" s="42" t="inlineStr">
        <is>
          <t>Umbral 5 único; lógica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B8-3270</t>
        </is>
      </c>
      <c r="B28" s="39" t="inlineStr">
        <is>
          <t>Compila. Pasa los 9 pasos del harness.</t>
        </is>
      </c>
      <c r="C28" s="40" t="n">
        <v>3</v>
      </c>
      <c r="D28" s="41" t="n">
        <v>2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Pasa los 9 pasos; ST válido con detección manual.</t>
        </is>
      </c>
      <c r="J28" s="42" t="inlineStr">
        <is>
          <t>Reset con prioridad y prev actualizado al final; robusto.</t>
        </is>
      </c>
      <c r="K28" s="42" t="inlineStr">
        <is>
          <t>Comentarios y nombres claros.</t>
        </is>
      </c>
      <c r="L28" s="42" t="inlineStr">
        <is>
          <t>Umbral 5 único; cambio localizado.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B8-2626</t>
        </is>
      </c>
      <c r="B29" s="39" t="inlineStr">
        <is>
          <t>Compila. Pasa los 9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Pasa los 9 pasos; R_TRIG estándar bien instanciado.</t>
        </is>
      </c>
      <c r="J29" s="42" t="inlineStr">
        <is>
          <t>Reset prioritario con ELSIF; detección de flanco estándar robusta.</t>
        </is>
      </c>
      <c r="K29" s="42" t="inlineStr">
        <is>
          <t>Comentarios claros y prioridad explícita.</t>
        </is>
      </c>
      <c r="L29" s="42" t="inlineStr">
        <is>
          <t>Umbral 5 único; sin duplicación.</t>
        </is>
      </c>
      <c r="M29" s="42" t="n"/>
      <c r="N29" s="40">
        <f>IF(COUNT(C29:G29)=5,"Completa","Falta")</f>
        <v/>
      </c>
    </row>
    <row r="30"/>
  </sheetData>
  <dataValidations count="3">
    <dataValidation sqref="C7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I1 — Semáforo con secuencia temporizada (Intermedio)</t>
        </is>
      </c>
    </row>
    <row r="2" ht="15" customHeight="1" s="22">
      <c r="A2" s="33" t="inlineStr">
        <is>
          <t>Lee cada respuesta por su código en respuestas/Respuestas_I1.html.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I1-2135</t>
        </is>
      </c>
      <c r="B6" s="39" t="inlineStr">
        <is>
          <t>Compila. Pasa los 9 pasos del harness.</t>
        </is>
      </c>
      <c r="C6" s="40" t="n">
        <v>3</v>
      </c>
      <c r="D6" s="41" t="n">
        <v>3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 idiomático: TON estándar bien instanciado y tipos TIME correctos.</t>
        </is>
      </c>
      <c r="J6" s="42" t="inlineStr">
        <is>
          <t>Máquina de estados clara, con reinicio de temporizadores y parpadeo consistente.</t>
        </is>
      </c>
      <c r="K6" s="42" t="inlineStr">
        <is>
          <t>Nombres descriptivos y comentarios breves; estructura por ramas principales.</t>
        </is>
      </c>
      <c r="L6" s="42" t="inlineStr">
        <is>
          <t>Tiempos literales localizados, sin constantes declaradas.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I1-7364</t>
        </is>
      </c>
      <c r="B7" s="39" t="inlineStr">
        <is>
          <t>Compila. Falla 6 de 9 pasos del harness (pasos 0,2,3,6,7,8; numerados desde 0).</t>
        </is>
      </c>
      <c r="C7" s="41" t="n">
        <v>0</v>
      </c>
      <c r="D7" s="41" t="n">
        <v>1</v>
      </c>
      <c r="E7" s="41" t="n">
        <v>1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Falla caso nominal y deshabilitado; IEC compila pero usa comentarios // y una lógica de timer no conforme.</t>
        </is>
      </c>
      <c r="J7" s="42" t="inlineStr">
        <is>
          <t>Timer sin reset correcto entre fases y parpadeo a ritmo de scan incoherente.</t>
        </is>
      </c>
      <c r="K7" s="42" t="inlineStr">
        <is>
          <t>Comentarios y nombres aceptables, pero la organización no ayuda a seguir los estados.</t>
        </is>
      </c>
      <c r="L7" s="42" t="inlineStr">
        <is>
          <t>Tiempos fijos en cada estado sin parametrizar; modificar exige tocar lógica.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I1-5111</t>
        </is>
      </c>
      <c r="B8" s="39" t="inlineStr">
        <is>
          <t>Compila. Falla 1 de 9 pasos del harness (pasos 7; numerados desde 0).</t>
        </is>
      </c>
      <c r="C8" s="41" t="n">
        <v>1</v>
      </c>
      <c r="D8" s="41" t="n">
        <v>2</v>
      </c>
      <c r="E8" s="41" t="n">
        <v>1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La secuencia nominal funciona pero falla el intermitente medido; compila con TON/TP estándar.</t>
        </is>
      </c>
      <c r="J8" s="42" t="inlineStr">
        <is>
          <t>El generador de intermitente con TP deja un apagado de duración incorrecta; lógica confusa.</t>
        </is>
      </c>
      <c r="K8" s="42" t="inlineStr">
        <is>
          <t>Nombres y comentarios claros, aunque el parpadeo es difícil de seguir.</t>
        </is>
      </c>
      <c r="L8" s="42" t="inlineStr">
        <is>
          <t>Tiempos fijos pero localizados en cada fase.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I1-7969</t>
        </is>
      </c>
      <c r="B9" s="39" t="inlineStr">
        <is>
          <t>Compila. Falla 7 de 9 pasos del harness (pasos 2,3,4,5,6,7,8; numerados desde 0).</t>
        </is>
      </c>
      <c r="C9" s="41" t="n">
        <v>0</v>
      </c>
      <c r="D9" s="41" t="n">
        <v>2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Falla fases nominales por usar TP como nivel; compila con TP estándar.</t>
        </is>
      </c>
      <c r="J9" s="42" t="inlineStr">
        <is>
          <t>Transiciones se disparan al inicio del pulso, no al expirar; secuencia rota.</t>
        </is>
      </c>
      <c r="K9" s="42" t="inlineStr">
        <is>
          <t>Estructura por estados y comentarios básicos; nombres descriptivos.</t>
        </is>
      </c>
      <c r="L9" s="42" t="inlineStr">
        <is>
          <t>Tiempos fijos sin constantes ni separación de lógica de temporización.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I1-5434</t>
        </is>
      </c>
      <c r="B10" s="39" t="inlineStr">
        <is>
          <t>Compila. Pasa los 9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 idiomático: R_TRIG, TON y TIME bien instanciados.</t>
        </is>
      </c>
      <c r="J10" s="42" t="inlineStr">
        <is>
          <t>Máquina de estados con flanco de habilitación, resets explícitos y salidas cubiertas.</t>
        </is>
      </c>
      <c r="K10" s="42" t="inlineStr">
        <is>
          <t>Nombres claros y comentarios por estado; se entiende bien.</t>
        </is>
      </c>
      <c r="L10" s="42" t="inlineStr">
        <is>
          <t>Tiempos literales en CASE; sin constantes externas.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I1-7084</t>
        </is>
      </c>
      <c r="B11" s="39" t="inlineStr">
        <is>
          <t>Compila. Pasa los 9 pasos del harness.</t>
        </is>
      </c>
      <c r="C11" s="40" t="n">
        <v>3</v>
      </c>
      <c r="D11" s="41" t="n">
        <v>3</v>
      </c>
      <c r="E11" s="41" t="n">
        <v>2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idiomático: R_TRIG y TON con TIME; declaraciones correctas.</t>
        </is>
      </c>
      <c r="J11" s="42" t="inlineStr">
        <is>
          <t>Separación de temporización, transición y salidas; reinicio por flanco correcto.</t>
        </is>
      </c>
      <c r="K11" s="42" t="inlineStr">
        <is>
          <t>Comentarios útiles y nombres descriptivos, aunque sin separadores visuales fuertes.</t>
        </is>
      </c>
      <c r="L11" s="42" t="inlineStr">
        <is>
          <t>Tiempos concentrados en CASE pero como literales.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I1-2168</t>
        </is>
      </c>
      <c r="B12" s="39" t="inlineStr">
        <is>
          <t>Compila. Pasa los 9 pasos del harness.</t>
        </is>
      </c>
      <c r="C12" s="40" t="n">
        <v>3</v>
      </c>
      <c r="D12" s="41" t="n">
        <v>2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correcto con TON y TIME; compila sin cambios.</t>
        </is>
      </c>
      <c r="J12" s="42" t="inlineStr">
        <is>
          <t>Sin contradicciones y transiciones completas; variables de estado sin inicialización explícita.</t>
        </is>
      </c>
      <c r="K12" s="42" t="inlineStr">
        <is>
          <t>Nombres descriptivos y comentarios breves; flujo principal claro.</t>
        </is>
      </c>
      <c r="L12" s="42" t="inlineStr">
        <is>
          <t>Un solo temporizador reutilizado; tiempos literales localizados.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I1-3359</t>
        </is>
      </c>
      <c r="B13" s="39" t="inlineStr">
        <is>
          <t>Compila. Pasa los 9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Uso estándar de TON y TIME; compila sin cambios.</t>
        </is>
      </c>
      <c r="J13" s="42" t="inlineStr">
        <is>
          <t>Dos TON encadenados para parpadeo y transiciones coherentes; sin estados muertos.</t>
        </is>
      </c>
      <c r="K13" s="42" t="inlineStr">
        <is>
          <t>Comentarios breves y nombres adecuados; estructura lógica clara.</t>
        </is>
      </c>
      <c r="L13" s="42" t="inlineStr">
        <is>
          <t>Tiempos escritos en CASE; lógica de parpadeo acoplada a estados.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I1-8741</t>
        </is>
      </c>
      <c r="B14" s="39" t="inlineStr">
        <is>
          <t>Compila sola, pero no se pudo simular: declara las entradas donde el harness no puede escribirlas ('habilitado' no es ninguna entrada de 'FB_SEMAFORO').</t>
        </is>
      </c>
      <c r="C14" s="41" t="n">
        <v>0</v>
      </c>
      <c r="D14" s="41" t="n">
        <v>1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Interfaz no conforme y reinicio de timers cada scan impediría temporizar; IEC solo compila en CODESYS.</t>
        </is>
      </c>
      <c r="J14" s="42" t="inlineStr">
        <is>
          <t>La inicialización incondicional de TON cada ciclo rompe la acumulación de tiempo.</t>
        </is>
      </c>
      <c r="K14" s="42" t="inlineStr">
        <is>
          <t>Comentarios de entrada/salida, pero secciones VAR incorrectas para el POU pedido.</t>
        </is>
      </c>
      <c r="L14" s="42" t="inlineStr">
        <is>
          <t>Sin parametrización y con reinicios mezclados en la lógica.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I1-4990</t>
        </is>
      </c>
      <c r="B15" s="39" t="inlineStr">
        <is>
          <t>Compila. Falla 1 de 9 pasos del harness (pasos 7; numerados desde 0).</t>
        </is>
      </c>
      <c r="C15" s="41" t="n">
        <v>1</v>
      </c>
      <c r="D15" s="41" t="n">
        <v>2</v>
      </c>
      <c r="E15" s="41" t="n">
        <v>1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Nominal funciona pero falla intermitente medido; compila con TON/TP estándar.</t>
        </is>
      </c>
      <c r="J15" s="42" t="inlineStr">
        <is>
          <t>Bandera de parpadeo se re-evalúa con Q activa, alternando de forma no controlada.</t>
        </is>
      </c>
      <c r="K15" s="42" t="inlineStr">
        <is>
          <t>Comentarios y secciones claros; nombres descriptivos.</t>
        </is>
      </c>
      <c r="L15" s="42" t="inlineStr">
        <is>
          <t>Tiempos fijos en fases; parpadeo acoplado a bandera interna.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I1-8830</t>
        </is>
      </c>
      <c r="B16" s="39" t="inlineStr">
        <is>
          <t>Compila. Pasa los 9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IEC idiomático: TON separados, TIME y bloques estándar bien instanciados.</t>
        </is>
      </c>
      <c r="J16" s="42" t="inlineStr">
        <is>
          <t>Resets completos al deshabilitar, ELSE para estado inválido y parpadeo consistente.</t>
        </is>
      </c>
      <c r="K16" s="42" t="inlineStr">
        <is>
          <t>Muy ordenado, con separadores y comentarios que explican cada fase.</t>
        </is>
      </c>
      <c r="L16" s="42" t="inlineStr">
        <is>
          <t>Tiempos literales aunque localizados; mejoraría con constantes declaradas.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I1-7322</t>
        </is>
      </c>
      <c r="B17" s="39" t="inlineStr">
        <is>
          <t>Compila. Pasa los 9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TON estándar bien instanciados, TIME correctos y compila sin cambios.</t>
        </is>
      </c>
      <c r="J17" s="42" t="inlineStr">
        <is>
          <t>Temporizadores de fase reiniciados al deshabilitar; transiciones completas y seguras.</t>
        </is>
      </c>
      <c r="K17" s="42" t="inlineStr">
        <is>
          <t>Excelente orden visual y comentarios por fase.</t>
        </is>
      </c>
      <c r="L17" s="42" t="inlineStr">
        <is>
          <t>Diseño claro, pero tiempos fijos sin constantes declaradas.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I1-3250</t>
        </is>
      </c>
      <c r="B18" s="39" t="inlineStr">
        <is>
          <t>Compila. Pasa los 9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Uso estándar de TON y expresiones booleanas; compila sin cambios.</t>
        </is>
      </c>
      <c r="J18" s="42" t="inlineStr">
        <is>
          <t>Temporizadores encadenados y salidas condicionadas; sin contradicciones.</t>
        </is>
      </c>
      <c r="K18" s="42" t="inlineStr">
        <is>
          <t>Nombres claros y comentarios breves; lógica compacta.</t>
        </is>
      </c>
      <c r="L18" s="42" t="inlineStr">
        <is>
          <t>Tiempos duros en cada llamada; lógica localizada pero no parametrizada.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I1-3464</t>
        </is>
      </c>
      <c r="B19" s="39" t="inlineStr">
        <is>
          <t>Compila. Pasa los 9 pasos del harness.</t>
        </is>
      </c>
      <c r="C19" s="40" t="n">
        <v>3</v>
      </c>
      <c r="D19" s="41" t="n">
        <v>3</v>
      </c>
      <c r="E19" s="41" t="n">
        <v>2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R_TRIG y TON idiomáticos; tipos TIME correctos.</t>
        </is>
      </c>
      <c r="J19" s="42" t="inlineStr">
        <is>
          <t>Reseteos por flanco y por fin de fase; variables auxiliares coherentes.</t>
        </is>
      </c>
      <c r="K19" s="42" t="inlineStr">
        <is>
          <t>Nombres claros y comentarios por sección; lógica leíble.</t>
        </is>
      </c>
      <c r="L19" s="42" t="inlineStr">
        <is>
          <t>Tiempos asignados en CASE; no parametrizado pero localizado.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I1-8420</t>
        </is>
      </c>
      <c r="B20" s="39" t="inlineStr">
        <is>
          <t>Compila. Falla 8 de 9 pasos del harness (pasos 1,2,3,4,5,6,7,8; numerados desde 0).</t>
        </is>
      </c>
      <c r="C20" s="41" t="n">
        <v>0</v>
      </c>
      <c r="D20" s="41" t="n">
        <v>1</v>
      </c>
      <c r="E20" s="41" t="n">
        <v>1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Falla secuencia nominal por no resetear timer entre fases; IEC compila con extensiones de comentario //.</t>
        </is>
      </c>
      <c r="J20" s="42" t="inlineStr">
        <is>
          <t>Timer reutilizado sin reset al cambiar de estado, encadenando mal las transiciones.</t>
        </is>
      </c>
      <c r="K20" s="42" t="inlineStr">
        <is>
          <t>Estructura de estados presente, pero comentarios no reflejan la falta de reset.</t>
        </is>
      </c>
      <c r="L20" s="42" t="inlineStr">
        <is>
          <t>Tiempos fijos y dependencia de un solo timer; frágil para modificar.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I1-5295</t>
        </is>
      </c>
      <c r="B21" s="39" t="inlineStr">
        <is>
          <t>Compila. Falla 7 de 9 pasos del harness (pasos 2,3,4,5,6,7,8; numerados desde 0).</t>
        </is>
      </c>
      <c r="C21" s="41" t="n">
        <v>0</v>
      </c>
      <c r="D21" s="41" t="n">
        <v>2</v>
      </c>
      <c r="E21" s="41" t="n">
        <v>1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Falla comportamiento nominal por usar TP como nivel; compila con TP estándar.</t>
        </is>
      </c>
      <c r="J21" s="42" t="inlineStr">
        <is>
          <t>Transición al inicio del pulso, no al expirar; la máquina no temporiza.</t>
        </is>
      </c>
      <c r="K21" s="42" t="inlineStr">
        <is>
          <t>Nombres y comentarios claros por estado.</t>
        </is>
      </c>
      <c r="L21" s="42" t="inlineStr">
        <is>
          <t>Tiempos fijos y sin constantes; cambios implican tocar cada estado.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I1-8541</t>
        </is>
      </c>
      <c r="B22" s="39" t="inlineStr">
        <is>
          <t>Compila. Pasa los 9 pasos del harness.</t>
        </is>
      </c>
      <c r="C22" s="40" t="n">
        <v>3</v>
      </c>
      <c r="D22" s="41" t="n">
        <v>2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Compila con TON y TIME estándar; declaraciones correctas.</t>
        </is>
      </c>
      <c r="J22" s="42" t="inlineStr">
        <is>
          <t>Máquina clásica de tres estados; parpadeo y reinicio coherentes.</t>
        </is>
      </c>
      <c r="K22" s="42" t="inlineStr">
        <is>
          <t>Comentarios breves y nombres descriptivos.</t>
        </is>
      </c>
      <c r="L22" s="42" t="inlineStr">
        <is>
          <t>Tiempos fijos en literales; un solo temporizador reutilizado.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I1-4916</t>
        </is>
      </c>
      <c r="B23" s="39" t="inlineStr">
        <is>
          <t>No compila (20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La lógica es legible, pero el timer se reinicia al iniciar cada scan; no temporizaría.</t>
        </is>
      </c>
      <c r="K23" s="42" t="inlineStr">
        <is>
          <t>Nombres y comentarios correctos, aunque la sintaxis de declaración es inválida.</t>
        </is>
      </c>
      <c r="L23" s="42" t="inlineStr">
        <is>
          <t>Tiempos literales y sin parámetros; estructura simple.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I1-5056</t>
        </is>
      </c>
      <c r="B24" s="39" t="inlineStr">
        <is>
          <t>Compila. Falla 1 de 9 pasos del harness (pasos 7; numerados desde 0).</t>
        </is>
      </c>
      <c r="C24" s="41" t="n">
        <v>1</v>
      </c>
      <c r="D24" s="41" t="n">
        <v>2</v>
      </c>
      <c r="E24" s="41" t="n">
        <v>1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Secuencia normal correcta pero intermitente no alterna; IEC compila con TON.</t>
        </is>
      </c>
      <c r="J24" s="42" t="inlineStr">
        <is>
          <t>Falta rearrancar tIntermitente al expirar; Q queda activo y amarillo fijo.</t>
        </is>
      </c>
      <c r="K24" s="42" t="inlineStr">
        <is>
          <t>Comentarios por estado y nombres claros.</t>
        </is>
      </c>
      <c r="L24" s="42" t="inlineStr">
        <is>
          <t>Tiempos fijos; modificación de fases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I1-1955</t>
        </is>
      </c>
      <c r="B25" s="39" t="inlineStr">
        <is>
          <t>Compila. Falla 7 de 9 pasos del harness (pasos 2,3,4,5,6,7,8; numerados desde 0).</t>
        </is>
      </c>
      <c r="C25" s="41" t="n">
        <v>0</v>
      </c>
      <c r="D25" s="41" t="n">
        <v>2</v>
      </c>
      <c r="E25" s="41" t="n">
        <v>1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Falla fases nominales por usar TP como nivel; compila con TP estándar.</t>
        </is>
      </c>
      <c r="J25" s="42" t="inlineStr">
        <is>
          <t>Transición inmediata con Q del TP; no temporiza duración de fase.</t>
        </is>
      </c>
      <c r="K25" s="42" t="inlineStr">
        <is>
          <t>Comentarios por estado y nombres adecuados.</t>
        </is>
      </c>
      <c r="L25" s="42" t="inlineStr">
        <is>
          <t>Tiempos literales sin centralizar; lógica repetitiva.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I1-8761</t>
        </is>
      </c>
      <c r="B26" s="39" t="inlineStr">
        <is>
          <t>Compila. Falla 6 de 9 pasos del harness (pasos 0,2,3,5,6,7; numerados desde 0).</t>
        </is>
      </c>
      <c r="C26" s="41" t="n">
        <v>0</v>
      </c>
      <c r="D26" s="41" t="n">
        <v>1</v>
      </c>
      <c r="E26" s="41" t="n">
        <v>1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Falla nominal y deshabilitado; IEC compila pero usa comentarios // y temporización incorrecta.</t>
        </is>
      </c>
      <c r="J26" s="42" t="inlineStr">
        <is>
          <t>Sin reset correcto entre fases y parpadeo por contador a ritmo de scan; incoherente.</t>
        </is>
      </c>
      <c r="K26" s="42" t="inlineStr">
        <is>
          <t>Comentarios presentes; los tiempos declarados ayudan a leer.</t>
        </is>
      </c>
      <c r="L26" s="42" t="inlineStr">
        <is>
          <t>Define variables de tiempo, pero la lógica no está bien parametrizada.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I1-4511</t>
        </is>
      </c>
      <c r="B27" s="39" t="inlineStr">
        <is>
          <t>Compila. Pasa los 9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TON estándar bien organizados y TIME correctos; POU conforme.</t>
        </is>
      </c>
      <c r="J27" s="42" t="inlineStr">
        <is>
          <t>Estado intermitente explícito, resets de entrada/salida y manejo de estado inválido.</t>
        </is>
      </c>
      <c r="K27" s="42" t="inlineStr">
        <is>
          <t>Separadores visuales y comentarios muy claros.</t>
        </is>
      </c>
      <c r="L27" s="42" t="inlineStr">
        <is>
          <t>Tiempos fijos dentro de cada fase; no hay constantes declaradas.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I1-4945</t>
        </is>
      </c>
      <c r="B28" s="39" t="inlineStr">
        <is>
          <t>No compila (20 errores).</t>
        </is>
      </c>
      <c r="C28" s="40" t="n">
        <v>0</v>
      </c>
      <c r="D28" s="40" t="n">
        <v>0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Estado sin inicialización y parpadeo sin alternancia; variables clave sin comportamiento definido.</t>
        </is>
      </c>
      <c r="K28" s="42" t="inlineStr">
        <is>
          <t>Sintaxis de declaración inválida; comentarios y nombres básicos.</t>
        </is>
      </c>
      <c r="L28" s="42" t="inlineStr">
        <is>
          <t>Tiempos duros y sin parametrizar; difícil de modificar.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I1-3124</t>
        </is>
      </c>
      <c r="B29" s="39" t="inlineStr">
        <is>
          <t>Compila. Falla 1 de 9 pasos del harness (pasos 7; numerados desde 0).</t>
        </is>
      </c>
      <c r="C29" s="41" t="n">
        <v>1</v>
      </c>
      <c r="D29" s="41" t="n">
        <v>2</v>
      </c>
      <c r="E29" s="41" t="n">
        <v>2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Secuencia nominal correcta; falla intervalo apagado del intermitente; compila con TON/TP.</t>
        </is>
      </c>
      <c r="J29" s="42" t="inlineStr">
        <is>
          <t>Detección de flanco y resets correctos, pero TP re-disparado deja apagado solo un scan.</t>
        </is>
      </c>
      <c r="K29" s="42" t="inlineStr">
        <is>
          <t>Comentarios y nombres claros; secciones ordenadas.</t>
        </is>
      </c>
      <c r="L29" s="42" t="inlineStr">
        <is>
          <t>Tiempos fijos, pero lógica bien localizada.</t>
        </is>
      </c>
      <c r="M29" s="42" t="n"/>
      <c r="N29" s="40">
        <f>IF(COUNT(C29:G29)=5,"Completa","Falta")</f>
        <v/>
      </c>
    </row>
    <row r="30"/>
  </sheetData>
  <dataValidations count="3">
    <dataValidation sqref="C7:C9 C14:C15 C20:C21 C24:C26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2 D24:D27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I2 — FSM de llenado multietapa (Intermedio)</t>
        </is>
      </c>
    </row>
    <row r="2" ht="15" customHeight="1" s="22">
      <c r="A2" s="33" t="inlineStr">
        <is>
          <t>Lee cada respuesta por su código en respuestas/Respuestas_I2.html.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I2-2212</t>
        </is>
      </c>
      <c r="B6" s="39" t="inlineStr">
        <is>
          <t>Compila. Falla 4 de 12 pasos del harness (pasos 4,5,6,9;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Falla en la secuencia nominal porque TON no se actualiza en el estado 2; compila con TON y tipos correctos.</t>
        </is>
      </c>
      <c r="J6" s="42" t="inlineStr">
        <is>
          <t>Temporizador nunca se evalúa en la etapa de mezcla, por lo que la transición queda muerta.</t>
        </is>
      </c>
      <c r="K6" s="42" t="inlineStr">
        <is>
          <t>Nombres descriptivos y comentarios básicos, CASE ordenado.</t>
        </is>
      </c>
      <c r="L6" s="42" t="inlineStr">
        <is>
          <t>T#60S y estados como números literales, sin constantes.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I2-8131</t>
        </is>
      </c>
      <c r="B7" s="39" t="inlineStr">
        <is>
          <t>Compila. Pasa los 12 pasos del harness.</t>
        </is>
      </c>
      <c r="C7" s="40" t="n">
        <v>3</v>
      </c>
      <c r="D7" s="41" t="n">
        <v>3</v>
      </c>
      <c r="E7" s="41" t="n">
        <v>3</v>
      </c>
      <c r="F7" s="41" t="n">
        <v>3</v>
      </c>
      <c r="G7" s="41" t="n">
        <v>1</v>
      </c>
      <c r="H7" s="40">
        <f>IF(COUNT(C7:G7)=5,SUM(C7:G7),"")</f>
        <v/>
      </c>
      <c r="I7" s="42" t="inlineStr">
        <is>
          <t>Pasa banco completo y usa TON estándar correctamente instanciado.</t>
        </is>
      </c>
      <c r="J7" s="42" t="inlineStr">
        <is>
          <t>Paro prioritario, salidas seguras en cada etapa y reinicio del temporizador; sin contradicciones.</t>
        </is>
      </c>
      <c r="K7" s="42" t="inlineStr">
        <is>
          <t>Secciones y comentarios claros, nombres descriptivos.</t>
        </is>
      </c>
      <c r="L7" s="42" t="inlineStr">
        <is>
          <t>T#60S repetido y estados numéricos sin constantes; lógica localizada.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I2-4370</t>
        </is>
      </c>
      <c r="B8" s="39" t="inlineStr">
        <is>
          <t>Compila. Falla 2 de 12 pasos del harness (pasos 2,3; numerados desde 0).</t>
        </is>
      </c>
      <c r="C8" s="41" t="n">
        <v>0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en pasos nominales al usar TP como temporizador de pulso; compila con temporizador estándar.</t>
        </is>
      </c>
      <c r="J8" s="42" t="inlineStr">
        <is>
          <t>TP provoca transición prematura o inmediata; estructura básica sin redundancias pero comportamiento incorrecto.</t>
        </is>
      </c>
      <c r="K8" s="42" t="inlineStr">
        <is>
          <t>Comentarios escuetos pero legible.</t>
        </is>
      </c>
      <c r="L8" s="42" t="inlineStr">
        <is>
          <t>T#60S y estados literales.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I2-4324</t>
        </is>
      </c>
      <c r="B9" s="39" t="inlineStr">
        <is>
          <t>Compila. Falla 7 de 12 pasos del harness (pasos 2,3,4,5,6,9,11; numerados desde 0).</t>
        </is>
      </c>
      <c r="C9" s="41" t="n">
        <v>0</v>
      </c>
      <c r="D9" s="41" t="n">
        <v>2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Falla en la secuencia nominal por TP y condiciones no ligadas al estado; compila.</t>
        </is>
      </c>
      <c r="J9" s="42" t="inlineStr">
        <is>
          <t>Lógica sin CASE y condiciones no acotadas al estado producen transiciones espurias.</t>
        </is>
      </c>
      <c r="K9" s="42" t="inlineStr">
        <is>
          <t>Comentarios mínimos; estructura básica.</t>
        </is>
      </c>
      <c r="L9" s="42" t="inlineStr">
        <is>
          <t>Valores literales; lógica repetida.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I2-4540</t>
        </is>
      </c>
      <c r="B10" s="39" t="inlineStr">
        <is>
          <t>Compila. Falla 4 de 12 pasos del harness (pasos 2,3,4,9; numerados desde 0).</t>
        </is>
      </c>
      <c r="C10" s="41" t="n">
        <v>0</v>
      </c>
      <c r="D10" s="41" t="n">
        <v>2</v>
      </c>
      <c r="E10" s="41" t="n">
        <v>0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Falla en pasos nominales por reinicio a reposo con btnInicio=0; compila con TON.</t>
        </is>
      </c>
      <c r="J10" s="42" t="inlineStr">
        <is>
          <t>IF NOT btnInicio fuerza estado 0 y anula los estados 1 a 3.</t>
        </is>
      </c>
      <c r="K10" s="42" t="inlineStr">
        <is>
          <t>Comentarios y nombres aceptables.</t>
        </is>
      </c>
      <c r="L10" s="42" t="inlineStr">
        <is>
          <t>T#60S literal y estado no inicializado en declaración.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I2-3499</t>
        </is>
      </c>
      <c r="B11" s="39" t="inlineStr">
        <is>
          <t>Compila. Pasa los 12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1</v>
      </c>
      <c r="H11" s="40">
        <f>IF(COUNT(C11:G11)=5,SUM(C11:G11),"")</f>
        <v/>
      </c>
      <c r="I11" s="42" t="inlineStr">
        <is>
          <t>Pasa banco completo; TON estándar correctamente instanciado.</t>
        </is>
      </c>
      <c r="J11" s="42" t="inlineStr">
        <is>
          <t>Paro prioritario, reinicio de temporizador y ELSE seguro; sin estados muertos.</t>
        </is>
      </c>
      <c r="K11" s="42" t="inlineStr">
        <is>
          <t>CASE con comentarios por etapa y separadores claros.</t>
        </is>
      </c>
      <c r="L11" s="42" t="inlineStr">
        <is>
          <t>T#60S y etapas literales.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I2-9002</t>
        </is>
      </c>
      <c r="B12" s="39" t="inlineStr">
        <is>
          <t>Compila. Pasa los 12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banco completo; TON activo solo en mezcla y salidas por estado.</t>
        </is>
      </c>
      <c r="J12" s="42" t="inlineStr">
        <is>
          <t>Paro prioritario, salidas derivadas del estado y ELSE seguro.</t>
        </is>
      </c>
      <c r="K12" s="42" t="inlineStr">
        <is>
          <t>Estructura clara aunque menos comentarios de sección.</t>
        </is>
      </c>
      <c r="L12" s="42" t="inlineStr">
        <is>
          <t>Temporizador y control de salidas centralizados; cambios localizados.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I2-4041</t>
        </is>
      </c>
      <c r="B13" s="39" t="inlineStr">
        <is>
          <t>Compila. Pasa los 12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1</v>
      </c>
      <c r="H13" s="40">
        <f>IF(COUNT(C13:G13)=5,SUM(C13:G13),"")</f>
        <v/>
      </c>
      <c r="I13" s="42" t="inlineStr">
        <is>
          <t>Pasa banco completo; TON estándar con reinicio correcto.</t>
        </is>
      </c>
      <c r="J13" s="42" t="inlineStr">
        <is>
          <t>Paro prioritario, reinicio del temporizador y ELSE seguro.</t>
        </is>
      </c>
      <c r="K13" s="42" t="inlineStr">
        <is>
          <t>Buena separación por etapas y comentarios explicativos.</t>
        </is>
      </c>
      <c r="L13" s="42" t="inlineStr">
        <is>
          <t>T#60S repetido y etapas numéricas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I2-9360</t>
        </is>
      </c>
      <c r="B14" s="39" t="inlineStr">
        <is>
          <t>Compila. Pasa los 12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Pasa banco completo; TON estándar y salidas derivadas del estado.</t>
        </is>
      </c>
      <c r="J14" s="42" t="inlineStr">
        <is>
          <t>Paro prioritario y salidas seguras por estado; sin contradicciones.</t>
        </is>
      </c>
      <c r="K14" s="42" t="inlineStr">
        <is>
          <t>Código conciso y legible, con comentarios básicos.</t>
        </is>
      </c>
      <c r="L14" s="42" t="inlineStr">
        <is>
          <t>Temporizador en una sola línea; cambios localizados.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I2-4337</t>
        </is>
      </c>
      <c r="B15" s="39" t="inlineStr">
        <is>
          <t>Compila. Falla 2 de 12 pasos del harness (pasos 2,3; numerados desde 0).</t>
        </is>
      </c>
      <c r="C15" s="41" t="n">
        <v>0</v>
      </c>
      <c r="D15" s="41" t="n">
        <v>2</v>
      </c>
      <c r="E15" s="41" t="n">
        <v>1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Falla en pasos nominales por TP; compila con temporizador estándar.</t>
        </is>
      </c>
      <c r="J15" s="42" t="inlineStr">
        <is>
          <t>TP produce transición anticipada; estructura básica legible.</t>
        </is>
      </c>
      <c r="K15" s="42" t="inlineStr">
        <is>
          <t>Comentarios breves y CASE con nombres aceptables.</t>
        </is>
      </c>
      <c r="L15" s="42" t="inlineStr">
        <is>
          <t>Estados y tiempo como literales.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I2-3432</t>
        </is>
      </c>
      <c r="B16" s="39" t="inlineStr">
        <is>
          <t>Compila sola, pero no se pudo simular: declara las entradas donde el harness no puede escribirlas ('nivelAlto' no es ninguna entrada de 'FB_LLENADO').</t>
        </is>
      </c>
      <c r="C16" s="41" t="n">
        <v>0</v>
      </c>
      <c r="D16" s="41" t="n">
        <v>1</v>
      </c>
      <c r="E16" s="41" t="n">
        <v>0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Lógica fallaría en mezcla por reset del temporizador cada ciclo; compila pero la interfaz no es conforme.</t>
        </is>
      </c>
      <c r="J16" s="42" t="inlineStr">
        <is>
          <t>El temporizador se resetea arriba y no se mantiene en estado 2; transición muerta.</t>
        </is>
      </c>
      <c r="K16" s="42" t="inlineStr">
        <is>
          <t>Comentarios y nombres descriptivos, aunque la interfaz está mal declarada.</t>
        </is>
      </c>
      <c r="L16" s="42" t="inlineStr">
        <is>
          <t>Sin constantes; entradas/salidas no diferenciadas.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I2-3102</t>
        </is>
      </c>
      <c r="B17" s="39" t="inlineStr">
        <is>
          <t>No compila (2 errores).</t>
        </is>
      </c>
      <c r="C17" s="40" t="n">
        <v>0</v>
      </c>
      <c r="D17" s="40" t="n">
        <v>0</v>
      </c>
      <c r="E17" s="41" t="n">
        <v>3</v>
      </c>
      <c r="F17" s="41" t="n">
        <v>3</v>
      </c>
      <c r="G17" s="41" t="n">
        <v>1</v>
      </c>
      <c r="H17" s="40">
        <f>IF(COUNT(C17:G17)=5,SUM(C17:G17),"")</f>
        <v/>
      </c>
      <c r="I17" s="39" t="inlineStr"/>
      <c r="J17" s="42" t="inlineStr">
        <is>
          <t>Aunque no compila, la lógica FSM es coherente, con paro prioritario, R_TRIG y ELSE seguro.</t>
        </is>
      </c>
      <c r="K17" s="42" t="inlineStr">
        <is>
          <t>Secciones claras, comentarios explicativos y nombres descriptivos.</t>
        </is>
      </c>
      <c r="L17" s="42" t="inlineStr">
        <is>
          <t>T#60S literales y estados numéricos.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I2-7023</t>
        </is>
      </c>
      <c r="B18" s="39" t="inlineStr">
        <is>
          <t>Compila. Pasa los 12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Pasa banco completo; TON estándar activo en la etapa de mezcla.</t>
        </is>
      </c>
      <c r="J18" s="42" t="inlineStr">
        <is>
          <t>Paro prioritario, CASE completo y salidas por estado.</t>
        </is>
      </c>
      <c r="K18" s="42" t="inlineStr">
        <is>
          <t>Código conciso y legible.</t>
        </is>
      </c>
      <c r="L18" s="42" t="inlineStr">
        <is>
          <t>Temporizador centralizado y salidas por ecuación de estado.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I2-4582</t>
        </is>
      </c>
      <c r="B19" s="39" t="inlineStr">
        <is>
          <t>Compila. Pasa los 12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1</v>
      </c>
      <c r="H19" s="40">
        <f>IF(COUNT(C19:G19)=5,SUM(C19:G19),"")</f>
        <v/>
      </c>
      <c r="I19" s="42" t="inlineStr">
        <is>
          <t>Pasa banco completo; TON estándar bien instanciado.</t>
        </is>
      </c>
      <c r="J19" s="42" t="inlineStr">
        <is>
          <t>Paro prioritario, reinicio del temporizador y protección ELSE.</t>
        </is>
      </c>
      <c r="K19" s="42" t="inlineStr">
        <is>
          <t>CASE bien comentado y separado por etapas.</t>
        </is>
      </c>
      <c r="L19" s="42" t="inlineStr">
        <is>
          <t>T#60S repetido y estados numéricos sin constantes.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I2-9998</t>
        </is>
      </c>
      <c r="B20" s="39" t="inlineStr">
        <is>
          <t>Compila. Pasa los 12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banco completo; TON estándar y control de salidas por estado.</t>
        </is>
      </c>
      <c r="J20" s="42" t="inlineStr">
        <is>
          <t>Paro prioritario y transiciones completas; sin estados muertos.</t>
        </is>
      </c>
      <c r="K20" s="42" t="inlineStr">
        <is>
          <t>Código claro y conciso.</t>
        </is>
      </c>
      <c r="L20" s="42" t="inlineStr">
        <is>
          <t>Temporizador y salidas centralizados, sin duplicación.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I2-3377</t>
        </is>
      </c>
      <c r="B21" s="39" t="inlineStr">
        <is>
          <t>Compila sola, pero no se pudo simular: declara las entradas donde el harness no puede escribirlas ('nivelAlto' no es ninguna entrada de 'FB_LLENADO').</t>
        </is>
      </c>
      <c r="C21" s="41" t="n">
        <v>2</v>
      </c>
      <c r="D21" s="41" t="n">
        <v>1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Lectura del código: secuencia correcta, pero la interfaz no es conforme y no se puede simular.</t>
        </is>
      </c>
      <c r="J21" s="42" t="inlineStr">
        <is>
          <t>Secuencia coherente; falta reset explícito del temporizador en paro, pero sin contradicción grave.</t>
        </is>
      </c>
      <c r="K21" s="42" t="inlineStr">
        <is>
          <t>Comentarios básicos y nombres descriptivos.</t>
        </is>
      </c>
      <c r="L21" s="42" t="inlineStr">
        <is>
          <t>Sin constantes; interfaz no separada.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I2-1039</t>
        </is>
      </c>
      <c r="B22" s="39" t="inlineStr">
        <is>
          <t>Compila. Falla 5 de 12 pasos del harness (pasos 2,3,4,5,9; numerados desde 0).</t>
        </is>
      </c>
      <c r="C22" s="41" t="n">
        <v>0</v>
      </c>
      <c r="D22" s="41" t="n">
        <v>2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Falla en la secuencia nominal; compila con TON.</t>
        </is>
      </c>
      <c r="J22" s="42" t="inlineStr">
        <is>
          <t>ELSIF btnInicio deja sin ejecutar el CASE en las etapas no-inicio, estados muertos.</t>
        </is>
      </c>
      <c r="K22" s="42" t="inlineStr">
        <is>
          <t>Comentarios y nombres aceptables.</t>
        </is>
      </c>
      <c r="L22" s="42" t="inlineStr">
        <is>
          <t>Estados y T#60S literales.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I2-2195</t>
        </is>
      </c>
      <c r="B23" s="39" t="inlineStr">
        <is>
          <t>Compila. Falla 3 de 12 pasos del harness (pasos 4,5,6; numerados desde 0).</t>
        </is>
      </c>
      <c r="C23" s="41" t="n">
        <v>0</v>
      </c>
      <c r="D23" s="41" t="n">
        <v>2</v>
      </c>
      <c r="E23" s="41" t="n">
        <v>0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Falla porque el temporizador no se actualiza en mezcla; compila.</t>
        </is>
      </c>
      <c r="J23" s="42" t="inlineStr">
        <is>
          <t>Transición muerta en estado 2 y proceso atascado en mezcla.</t>
        </is>
      </c>
      <c r="K23" s="42" t="inlineStr">
        <is>
          <t>Código secuencial con comentarios por estado.</t>
        </is>
      </c>
      <c r="L23" s="42" t="inlineStr">
        <is>
          <t>T#60S literal y sin constantes.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I2-5294</t>
        </is>
      </c>
      <c r="B24" s="39" t="inlineStr">
        <is>
          <t>Compila. Pasa los 12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Pasa banco completo; TON estándar con control por estado.</t>
        </is>
      </c>
      <c r="J24" s="42" t="inlineStr">
        <is>
          <t>Paro prioritario, transiciones correctas y salidas seguras.</t>
        </is>
      </c>
      <c r="K24" s="42" t="inlineStr">
        <is>
          <t>Código claro y conciso.</t>
        </is>
      </c>
      <c r="L24" s="42" t="inlineStr">
        <is>
          <t>Temporizador centralizado y salidas por estado.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I2-5330</t>
        </is>
      </c>
      <c r="B25" s="39" t="inlineStr">
        <is>
          <t>Compila. Pasa los 12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Pasa banco completo; TON estándar y salidas derivadas del estado.</t>
        </is>
      </c>
      <c r="J25" s="42" t="inlineStr">
        <is>
          <t>Paro prioritario, ELSE seguro y control de salidas robusto.</t>
        </is>
      </c>
      <c r="K25" s="42" t="inlineStr">
        <is>
          <t>Comentarios explicativos y estructura muy ordenada.</t>
        </is>
      </c>
      <c r="L25" s="42" t="inlineStr">
        <is>
          <t>Temporizador y salidas centralizados; sin constantes para estados.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I2-9686</t>
        </is>
      </c>
      <c r="B26" s="39" t="inlineStr">
        <is>
          <t>Compila. Falla 3 de 12 pasos del harness (pasos 4,5,6;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Falla en la secuencia nominal; compila con TON.</t>
        </is>
      </c>
      <c r="J26" s="42" t="inlineStr">
        <is>
          <t>El temporizador se inicia y se resetea en el mismo ciclo, impidiendo acumular tiempo.</t>
        </is>
      </c>
      <c r="K26" s="42" t="inlineStr">
        <is>
          <t>Comentarios básicos y estructura reconocible.</t>
        </is>
      </c>
      <c r="L26" s="42" t="inlineStr">
        <is>
          <t>T#60S literal y sin constantes.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I2-7180</t>
        </is>
      </c>
      <c r="B27" s="39" t="inlineStr">
        <is>
          <t>Compila. Falla 3 de 12 pasos del harness (pasos 4,5,6; numerados desde 0).</t>
        </is>
      </c>
      <c r="C27" s="41" t="n">
        <v>0</v>
      </c>
      <c r="D27" s="41" t="n">
        <v>2</v>
      </c>
      <c r="E27" s="41" t="n">
        <v>0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Falla en la secuencia nominal; compila con TON estándar.</t>
        </is>
      </c>
      <c r="J27" s="42" t="inlineStr">
        <is>
          <t>El temporizador se resetea cada ciclo antes de activarse, por lo que no acumula.</t>
        </is>
      </c>
      <c r="K27" s="42" t="inlineStr">
        <is>
          <t>Estructura clara y comentarios por etapa.</t>
        </is>
      </c>
      <c r="L27" s="42" t="inlineStr">
        <is>
          <t>Periodo de tiempo declarado como TIME, facilitando cambios.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I2-8425</t>
        </is>
      </c>
      <c r="B28" s="39" t="inlineStr">
        <is>
          <t>Compila. Pasa los 12 pasos del harness.</t>
        </is>
      </c>
      <c r="C28" s="40" t="n">
        <v>3</v>
      </c>
      <c r="D28" s="41" t="n">
        <v>3</v>
      </c>
      <c r="E28" s="41" t="n">
        <v>3</v>
      </c>
      <c r="F28" s="41" t="n">
        <v>3</v>
      </c>
      <c r="G28" s="41" t="n">
        <v>1</v>
      </c>
      <c r="H28" s="40">
        <f>IF(COUNT(C28:G28)=5,SUM(C28:G28),"")</f>
        <v/>
      </c>
      <c r="I28" s="42" t="inlineStr">
        <is>
          <t>Pasa banco completo; TON estándar bien instanciado.</t>
        </is>
      </c>
      <c r="J28" s="42" t="inlineStr">
        <is>
          <t>Paro prioritario, reinicio del temporizador y ELSE seguro.</t>
        </is>
      </c>
      <c r="K28" s="42" t="inlineStr">
        <is>
          <t>Máquina de estados muy bien comentada y separada.</t>
        </is>
      </c>
      <c r="L28" s="42" t="inlineStr">
        <is>
          <t>T#60S repetido y estados numéricos sin constantes.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I2-6794</t>
        </is>
      </c>
      <c r="B29" s="39" t="inlineStr">
        <is>
          <t>Compila. Falla 3 de 12 pasos del harness (pasos 2,3,9; numerados desde 0).</t>
        </is>
      </c>
      <c r="C29" s="41" t="n">
        <v>0</v>
      </c>
      <c r="D29" s="41" t="n">
        <v>2</v>
      </c>
      <c r="E29" s="41" t="n">
        <v>0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Falla en la secuencia nominal; compila con TON.</t>
        </is>
      </c>
      <c r="J29" s="42" t="inlineStr">
        <is>
          <t>Usa NOT tMezcla.Q para salir de mezcla, saltando la espera de 60 s.</t>
        </is>
      </c>
      <c r="K29" s="42" t="inlineStr">
        <is>
          <t>Código legible con comentarios por estado.</t>
        </is>
      </c>
      <c r="L29" s="42" t="inlineStr">
        <is>
          <t>T#60S literal y sin constantes.</t>
        </is>
      </c>
      <c r="M29" s="42" t="n"/>
      <c r="N29" s="40">
        <f>IF(COUNT(C29:G29)=5,"Completa","Falta")</f>
        <v/>
      </c>
    </row>
    <row r="30"/>
  </sheetData>
  <dataValidations count="3">
    <dataValidation sqref="C6 C8:C10 C15:C16 C21:C23 C26:C27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6 D1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I3 — Gestión de alarmas con prioridad (Intermedio)</t>
        </is>
      </c>
    </row>
    <row r="2" ht="15" customHeight="1" s="22">
      <c r="A2" s="33" t="inlineStr">
        <is>
          <t>Lee cada respuesta por su código en respuestas/Respuestas_I3.html.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I3-8823</t>
        </is>
      </c>
      <c r="B6" s="39" t="inlineStr">
        <is>
          <t>Compila. Pasa los 10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fijo 3; IEC 3: FB correcto, sintaxis y comentarios (* *) estándar.</t>
        </is>
      </c>
      <c r="J6" s="42" t="inlineStr">
        <is>
          <t>Retención con prioridad al set, transiciones completas y sin contradicciones.</t>
        </is>
      </c>
      <c r="K6" s="42" t="inlineStr">
        <is>
          <t>Secciones ordenadas y comentarios que explican el porqué del set/reset.</t>
        </is>
      </c>
      <c r="L6" s="42" t="inlineStr">
        <is>
          <t>Cambios por alarma localizados, sin valores mágicos; lógica duplicada no extensible.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I3-1249</t>
        </is>
      </c>
      <c r="B7" s="39" t="inlineStr">
        <is>
          <t>Compila. Pasa los 10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Funcional fijo 3; IEC 3: declaraciones y sintaxis estándar con comentarios (* *).</t>
        </is>
      </c>
      <c r="J7" s="42" t="inlineStr">
        <is>
          <t>Sin contradicciones y tratamiento correcto de ACK simultáneo con causa.</t>
        </is>
      </c>
      <c r="K7" s="42" t="inlineStr">
        <is>
          <t>Estructura clara por secciones; comentarios útiles aunque algo breves.</t>
        </is>
      </c>
      <c r="L7" s="42" t="inlineStr">
        <is>
          <t>Modificable y legible, aunque la lógica de las tres alarmas está replicada.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I3-2429</t>
        </is>
      </c>
      <c r="B8" s="39" t="inlineStr">
        <is>
          <t>Compila. Pasa los 10 pasos del harness.</t>
        </is>
      </c>
      <c r="C8" s="40" t="n">
        <v>3</v>
      </c>
      <c r="D8" s="41" t="n">
        <v>1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Funcional fijo 3; IEC 1 por usar comentarios //, extensión no estándar en IEC 61131-3.</t>
        </is>
      </c>
      <c r="J8" s="42" t="inlineStr">
        <is>
          <t>Transiciones de retención correctas con ACK sólo válido sin causa.</t>
        </is>
      </c>
      <c r="K8" s="42" t="inlineStr">
        <is>
          <t>Código ordenado y comentarios correctos, pero sin explicación de prioridad.</t>
        </is>
      </c>
      <c r="L8" s="42" t="inlineStr">
        <is>
          <t>Cambios localizados por alarma; lógica triplicada sin parametrización.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I3-2584</t>
        </is>
      </c>
      <c r="B9" s="39" t="inlineStr">
        <is>
          <t>Compila. Pasa los 10 pasos del harness.</t>
        </is>
      </c>
      <c r="C9" s="40" t="n">
        <v>3</v>
      </c>
      <c r="D9" s="41" t="n">
        <v>1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Funcional fijo 3; IEC 1 por comentarios //, extensión CODESYS fuera del IEC.</t>
        </is>
      </c>
      <c r="J9" s="42" t="inlineStr">
        <is>
          <t>Expresión OR/AND autosostenida sin contradicciones y manejo correcto de simultáneos.</t>
        </is>
      </c>
      <c r="K9" s="42" t="inlineStr">
        <is>
          <t>Secciones numeradas y comentarios explican la retención y prioridad.</t>
        </is>
      </c>
      <c r="L9" s="42" t="inlineStr">
        <is>
          <t>Sin duplicación excesiva y sin valores mágicos, aunque no es extensible.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I3-9331</t>
        </is>
      </c>
      <c r="B10" s="39" t="inlineStr">
        <is>
          <t>Compila. Pasa los 10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Funcional fijo 3; IEC 3: comentarios (* *) y construcciones ST estándar.</t>
        </is>
      </c>
      <c r="J10" s="42" t="inlineStr">
        <is>
          <t>Set/reset correcto; el ACK no borra si la causa está presente.</t>
        </is>
      </c>
      <c r="K10" s="42" t="inlineStr">
        <is>
          <t>Organización clara, con nombres descriptivos y comentarios breves útiles.</t>
        </is>
      </c>
      <c r="L10" s="42" t="inlineStr">
        <is>
          <t>Cambios por alarma sencillos; sin parametrización para más alarmas.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I3-6376</t>
        </is>
      </c>
      <c r="B11" s="39" t="inlineStr">
        <is>
          <t>Compila. Falla 2 de 10 pasos del harness (pasos 2,3; numerados desde 0).</t>
        </is>
      </c>
      <c r="C11" s="41" t="n">
        <v>0</v>
      </c>
      <c r="D11" s="41" t="n">
        <v>3</v>
      </c>
      <c r="E11" s="41" t="n">
        <v>1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Falla pasos 2 y 3: no retiene y borra con ACK aunque la causa siga activa (funcional 0). IEC 3 por sintaxis estándar.</t>
        </is>
      </c>
      <c r="J11" s="42" t="inlineStr">
        <is>
          <t>Lógica internamente consistente, pero no modela el estado retenido; transiciones incompletas.</t>
        </is>
      </c>
      <c r="K11" s="42" t="inlineStr">
        <is>
          <t>Nombres y comentarios claros, aunque la estructura no refleja la retención exigida.</t>
        </is>
      </c>
      <c r="L11" s="42" t="inlineStr">
        <is>
          <t>Fácil de leer y modificar, pero implementar la retención obliga a reestructurar.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I3-8129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Funcional fijo 3; IEC 3: comentario y sintaxis IEC correcta.</t>
        </is>
      </c>
      <c r="J12" s="42" t="inlineStr">
        <is>
          <t>Latch autosostenido sin contradicciones; comportamiento seguro con ACK simultáneo.</t>
        </is>
      </c>
      <c r="K12" s="42" t="inlineStr">
        <is>
          <t>Código claro y directo con comentarios de sección.</t>
        </is>
      </c>
      <c r="L12" s="42" t="inlineStr">
        <is>
          <t>Cambios localizados; lógica replicada para las tres alarmas.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I3-2453</t>
        </is>
      </c>
      <c r="B13" s="39" t="inlineStr">
        <is>
          <t>Compila. Pasa los 10 pasos del harness.</t>
        </is>
      </c>
      <c r="C13" s="40" t="n">
        <v>3</v>
      </c>
      <c r="D13" s="41" t="n">
        <v>1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Funcional fijo 3; IEC 1 por comentarios // no estándar IEC.</t>
        </is>
      </c>
      <c r="J13" s="42" t="inlineStr">
        <is>
          <t>Set y reset coherentes; el reset exige ACK y causa ausente.</t>
        </is>
      </c>
      <c r="K13" s="42" t="inlineStr">
        <is>
          <t>Comentarios y nombres claros, con lógica separada en bloques.</t>
        </is>
      </c>
      <c r="L13" s="42" t="inlineStr">
        <is>
          <t>Modificable sin valores mágicos, aunque replica lógica.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I3-5104</t>
        </is>
      </c>
      <c r="B14" s="39" t="inlineStr">
        <is>
          <t>Compila. Pasa los 10 pasos del harness.</t>
        </is>
      </c>
      <c r="C14" s="40" t="n">
        <v>3</v>
      </c>
      <c r="D14" s="41" t="n">
        <v>1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Funcional fijo 3; IEC 1 por comentarios //, extensión del compilador.</t>
        </is>
      </c>
      <c r="J14" s="42" t="inlineStr">
        <is>
          <t>Sin contradicciones; condición de reset impide borrar con causa presente.</t>
        </is>
      </c>
      <c r="K14" s="42" t="inlineStr">
        <is>
          <t>Estructura ordenada y comentarios descriptivos.</t>
        </is>
      </c>
      <c r="L14" s="42" t="inlineStr">
        <is>
          <t>Cambios por alarma localizados; lógica triplicada.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I3-3183</t>
        </is>
      </c>
      <c r="B15" s="39" t="inlineStr">
        <is>
          <t>Compila. Pasa los 10 pasos del harness.</t>
        </is>
      </c>
      <c r="C15" s="40" t="n">
        <v>3</v>
      </c>
      <c r="D15" s="41" t="n">
        <v>1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Funcional fijo 3; IEC 1 por comentarios // no IEC.</t>
        </is>
      </c>
      <c r="J15" s="42" t="inlineStr">
        <is>
          <t>Retención y borrado correctos; entradas simultáneas no generan estados contradictorios.</t>
        </is>
      </c>
      <c r="K15" s="42" t="inlineStr">
        <is>
          <t>Organización clara y comentarios útiles.</t>
        </is>
      </c>
      <c r="L15" s="42" t="inlineStr">
        <is>
          <t>Sin valores mágicos; modificable por bloques de alarma.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I3-8600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Funcional fijo 3; IEC 3: sintaxis estándar y comentarios (* *).</t>
        </is>
      </c>
      <c r="J16" s="42" t="inlineStr">
        <is>
          <t>Set/reset con prioridad al set, sin estados muertos.</t>
        </is>
      </c>
      <c r="K16" s="42" t="inlineStr">
        <is>
          <t>Código ordenado con comentarios claros por sección.</t>
        </is>
      </c>
      <c r="L16" s="42" t="inlineStr">
        <is>
          <t>Bien localizado pero duplicado.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I3-6496</t>
        </is>
      </c>
      <c r="B17" s="39" t="inlineStr">
        <is>
          <t>Compila. Pasa los 10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Funcional fijo 3; IEC 3: estándar, con comentarios (* *) y FB apropiado.</t>
        </is>
      </c>
      <c r="J17" s="42" t="inlineStr">
        <is>
          <t>Lógica de retención sin contradicciones y ACK válido sólo sin causa.</t>
        </is>
      </c>
      <c r="K17" s="42" t="inlineStr">
        <is>
          <t>Comentarios explican el porqué de cada bloque; secciones muy legibles.</t>
        </is>
      </c>
      <c r="L17" s="42" t="inlineStr">
        <is>
          <t>Cambios localizados, sin valores mágicos; sin diseño extensible.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I3-4378</t>
        </is>
      </c>
      <c r="B18" s="39" t="inlineStr">
        <is>
          <t>Compila. Pasa los 10 pasos del harness.</t>
        </is>
      </c>
      <c r="C18" s="40" t="n">
        <v>3</v>
      </c>
      <c r="D18" s="41" t="n">
        <v>1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Funcional fijo 3; IEC 1 por comentarios //, extensión no IEC.</t>
        </is>
      </c>
      <c r="J18" s="42" t="inlineStr">
        <is>
          <t>Inicialización explícita y transiciones de retención coherentes.</t>
        </is>
      </c>
      <c r="K18" s="42" t="inlineStr">
        <is>
          <t>Código claro aunque los comentarios no explican el porqué.</t>
        </is>
      </c>
      <c r="L18" s="42" t="inlineStr">
        <is>
          <t>Legible y modificable; lógica replicada.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I3-1066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Funcional fijo 3; IEC 3: construcciones ST estándar con comentarios (* *).</t>
        </is>
      </c>
      <c r="J19" s="42" t="inlineStr">
        <is>
          <t>Aunque remueve antes de setear, el orden no crea contradicciones; ACK simultáneo seguro.</t>
        </is>
      </c>
      <c r="K19" s="42" t="inlineStr">
        <is>
          <t>Código simple y directo, con secciones legibles.</t>
        </is>
      </c>
      <c r="L19" s="42" t="inlineStr">
        <is>
          <t>Modificable por alarma; sin parametrización.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I3-1113</t>
        </is>
      </c>
      <c r="B20" s="39" t="inlineStr">
        <is>
          <t>Compila. Pasa los 10 pasos del harness.</t>
        </is>
      </c>
      <c r="C20" s="40" t="n">
        <v>3</v>
      </c>
      <c r="D20" s="41" t="n">
        <v>1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Funcional fijo 3; IEC 1 por comentarios // no estándar.</t>
        </is>
      </c>
      <c r="J20" s="42" t="inlineStr">
        <is>
          <t>La condición de ACK sólo limpia si no hay causa; transiciones completas.</t>
        </is>
      </c>
      <c r="K20" s="42" t="inlineStr">
        <is>
          <t>Nombres descriptivos y secciones ordenadas.</t>
        </is>
      </c>
      <c r="L20" s="42" t="inlineStr">
        <is>
          <t>Bloques claros por alarma, aunque replicados.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I3-9934</t>
        </is>
      </c>
      <c r="B21" s="39" t="inlineStr">
        <is>
          <t>Compila. Pasa los 10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Funcional fijo 3; IEC 3: expresión estándar y comentarios (* *).</t>
        </is>
      </c>
      <c r="J21" s="42" t="inlineStr">
        <is>
          <t>Latch OR/AND sin contradicciones y con reset condicionado.</t>
        </is>
      </c>
      <c r="K21" s="42" t="inlineStr">
        <is>
          <t>Código directo y con comentarios útiles de sección.</t>
        </is>
      </c>
      <c r="L21" s="42" t="inlineStr">
        <is>
          <t>Sin valores mágicos; cambios localizados.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I3-7296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Funcional fijo 3; IEC 3: comentarios (* *) y ST idiomático.</t>
        </is>
      </c>
      <c r="J22" s="42" t="inlineStr">
        <is>
          <t>Set/reset correcto y sin estados inalcanzables.</t>
        </is>
      </c>
      <c r="K22" s="42" t="inlineStr">
        <is>
          <t>Explica claramente la prioridad del set y la activación de salidas.</t>
        </is>
      </c>
      <c r="L22" s="42" t="inlineStr">
        <is>
          <t>Legible y modular por bloques; lógica triplicada.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I3-3545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Funcional fijo 3; IEC 3: estándar, comentarios (* *) correctos.</t>
        </is>
      </c>
      <c r="J23" s="42" t="inlineStr">
        <is>
          <t>Lógica sin contradicciones y reset condicionado a causa ausente.</t>
        </is>
      </c>
      <c r="K23" s="42" t="inlineStr">
        <is>
          <t>Organización clara con secciones y comentarios breves.</t>
        </is>
      </c>
      <c r="L23" s="42" t="inlineStr">
        <is>
          <t>Modificable; sin magia pero no extensible.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I3-7173</t>
        </is>
      </c>
      <c r="B24" s="39" t="inlineStr">
        <is>
          <t>Compila. Falla 2 de 10 pasos del harness (pasos 2,3; numerados desde 0).</t>
        </is>
      </c>
      <c r="C24" s="41" t="n">
        <v>0</v>
      </c>
      <c r="D24" s="41" t="n">
        <v>3</v>
      </c>
      <c r="E24" s="41" t="n">
        <v>1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Falla pasos 2 y 3 por no retener; funcional 0. IEC 3 por sintaxis estándar.</t>
        </is>
      </c>
      <c r="J24" s="42" t="inlineStr">
        <is>
          <t>Sin contradicciones internas, pero omite el estado de retención; transiciones incompletas.</t>
        </is>
      </c>
      <c r="K24" s="42" t="inlineStr">
        <is>
          <t>Nombres claros y secciones separadas, aunque falta lógica de enclavamiento.</t>
        </is>
      </c>
      <c r="L24" s="42" t="inlineStr">
        <is>
          <t>Fácil de localizar, pero ajustar a la retención obliga a reescribir.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I3-9721</t>
        </is>
      </c>
      <c r="B25" s="39" t="inlineStr">
        <is>
          <t>Compila. Pasa los 10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Funcional fijo 3; IEC 3: comentarios (* *) y lógica ST estándar.</t>
        </is>
      </c>
      <c r="J25" s="42" t="inlineStr">
        <is>
          <t>Retención y ACK correctos; sin contradicciones.</t>
        </is>
      </c>
      <c r="K25" s="42" t="inlineStr">
        <is>
          <t>Comentarios de sección explican la lógica con claridad.</t>
        </is>
      </c>
      <c r="L25" s="42" t="inlineStr">
        <is>
          <t>Bien localizada, aunque replica la lógica.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I3-2759</t>
        </is>
      </c>
      <c r="B26" s="39" t="inlineStr">
        <is>
          <t>Compila. Pasa los 10 pasos del harness.</t>
        </is>
      </c>
      <c r="C26" s="40" t="n">
        <v>3</v>
      </c>
      <c r="D26" s="41" t="n">
        <v>1</v>
      </c>
      <c r="E26" s="41" t="n">
        <v>3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Funcional fijo 3; IEC 1 por comentarios // no IEC.</t>
        </is>
      </c>
      <c r="J26" s="42" t="inlineStr">
        <is>
          <t>Expresión de retención robusta y sin contradicciones.</t>
        </is>
      </c>
      <c r="K26" s="42" t="inlineStr">
        <is>
          <t>Secciones numeradas y explicación clara de la dominancia de almX.</t>
        </is>
      </c>
      <c r="L26" s="42" t="inlineStr">
        <is>
          <t>Sin valores mágicos; bloques separados por alarma.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I3-4645</t>
        </is>
      </c>
      <c r="B27" s="39" t="inlineStr">
        <is>
          <t>Compila. Pasa los 10 pasos del harness.</t>
        </is>
      </c>
      <c r="C27" s="40" t="n">
        <v>3</v>
      </c>
      <c r="D27" s="41" t="n">
        <v>1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Funcional fijo 3; IEC 1 por comentarios //, extensión del compilador.</t>
        </is>
      </c>
      <c r="J27" s="42" t="inlineStr">
        <is>
          <t>Set/reset correcto; no borra con causa presente.</t>
        </is>
      </c>
      <c r="K27" s="42" t="inlineStr">
        <is>
          <t>Código claro, con comentarios útiles aunque sin explicaciones extensas.</t>
        </is>
      </c>
      <c r="L27" s="42" t="inlineStr">
        <is>
          <t>Cambios localizados; lógica triplicada.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I3-1393</t>
        </is>
      </c>
      <c r="B28" s="39" t="inlineStr">
        <is>
          <t>Compila. Pasa los 10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Funcional fijo 3; IEC 3: comentarios (* *) y estructuras estándar.</t>
        </is>
      </c>
      <c r="J28" s="42" t="inlineStr">
        <is>
          <t>Latch autosostenido sin contradicciones y correcto ante ACK simultáneo.</t>
        </is>
      </c>
      <c r="K28" s="42" t="inlineStr">
        <is>
          <t>Código directo y ordenado, con comentarios por bloque.</t>
        </is>
      </c>
      <c r="L28" s="42" t="inlineStr">
        <is>
          <t>Modificable sin valores mágicos; no extensible a N alarmas.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I3-4818</t>
        </is>
      </c>
      <c r="B29" s="39" t="inlineStr">
        <is>
          <t>Compila. Pasa los 10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Funcional fijo 3; IEC 3: sintaxis y comentarios IEC correctos.</t>
        </is>
      </c>
      <c r="J29" s="42" t="inlineStr">
        <is>
          <t>Retención con prioridad al set bien resuelta; sin estados muertos.</t>
        </is>
      </c>
      <c r="K29" s="42" t="inlineStr">
        <is>
          <t>Bloques encabezados y comentarios explican set/reset y prioridad.</t>
        </is>
      </c>
      <c r="L29" s="42" t="inlineStr">
        <is>
          <t>Bien localizado, aunque duplicación de lógica por alarma.</t>
        </is>
      </c>
      <c r="M29" s="42" t="n"/>
      <c r="N29" s="40">
        <f>IF(COUNT(C29:G29)=5,"Completa","Falta")</f>
        <v/>
      </c>
    </row>
    <row r="30"/>
  </sheetData>
  <dataValidations count="3">
    <dataValidation sqref="C11 C24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I4 — Arranque estrella-triángulo (Intermedio)</t>
        </is>
      </c>
    </row>
    <row r="2" ht="15" customHeight="1" s="22">
      <c r="A2" s="33" t="inlineStr">
        <is>
          <t>Lee cada respuesta por su código en respuestas/Respuestas_I4.html.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I4-2611</t>
        </is>
      </c>
      <c r="B6" s="39" t="inlineStr">
        <is>
          <t>Compila. Pasa los 6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fijado en 3; IEC idiomático con TON, CASE y comentarios (* *).</t>
        </is>
      </c>
      <c r="J6" s="42" t="inlineStr">
        <is>
          <t>Máquina de estados con paro prioritario, resets y enclavamiento de seguridad.</t>
        </is>
      </c>
      <c r="K6" s="42" t="inlineStr">
        <is>
          <t>Comentarios y secciones claras que explican cada estado.</t>
        </is>
      </c>
      <c r="L6" s="42" t="inlineStr">
        <is>
          <t>Lógica centralizada y ordenada, aunque los tiempos no están parametrizados.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I4-7007</t>
        </is>
      </c>
      <c r="B7" s="39" t="inlineStr">
        <is>
          <t>Compila sola, pero no se pudo simular: declara las entradas donde el harness no puede escribirlas ('btnMarcha' no es ninguna entrada de 'FB_ESTRELLATRIANGULO').</t>
        </is>
      </c>
      <c r="C7" s="41" t="n">
        <v>0</v>
      </c>
      <c r="D7" s="41" t="n">
        <v>1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No se pudo simular por interfaz no conforme (VAR en lugar de VAR_INPUT) y usa END_FUNCTION_BLOCK no estándar; además los temporizadores no avanzan en los estados activos.</t>
        </is>
      </c>
      <c r="J7" s="42" t="inlineStr">
        <is>
          <t>El reseteo superior de temporizadores y la ausencia de llamadas en estado 1/2 impiden la transición.</t>
        </is>
      </c>
      <c r="K7" s="42" t="inlineStr">
        <is>
          <t>Nombres básicos y comentarios escasos; la estructura no refleja claramente la máquina de estados.</t>
        </is>
      </c>
      <c r="L7" s="42" t="inlineStr">
        <is>
          <t>Valores fijos y lógica repetida; modificar requiere revisar varios puntos.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I4-5661</t>
        </is>
      </c>
      <c r="B8" s="39" t="inlineStr">
        <is>
          <t>Compila. Falla 2 de 6 pasos del harness (pasos 1,3; numerados desde 0).</t>
        </is>
      </c>
      <c r="C8" s="41" t="n">
        <v>0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fase estrella y tiempo muerto por usar TP sin llamada activa en los estados; IEC correcto pero no idiomático.</t>
        </is>
      </c>
      <c r="J8" s="42" t="inlineStr">
        <is>
          <t>La lógica es comprensible, pero los temporizadores no se invocan en los estados donde debe medirse.</t>
        </is>
      </c>
      <c r="K8" s="42" t="inlineStr">
        <is>
          <t>Comentarios por estado y nombres aceptables.</t>
        </is>
      </c>
      <c r="L8" s="42" t="inlineStr">
        <is>
          <t>Tiempos mágicos repartidos y poca parametrización.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I4-1792</t>
        </is>
      </c>
      <c r="B9" s="39" t="inlineStr">
        <is>
          <t>Compila. Pasa los 6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Funcional fijado en 3; IEC idiomático: TON y CASE con reset explícito.</t>
        </is>
      </c>
      <c r="J9" s="42" t="inlineStr">
        <is>
          <t>Paro prioritario, transiciones completas y resets correctos.</t>
        </is>
      </c>
      <c r="K9" s="42" t="inlineStr">
        <is>
          <t>Máquina de estados documentada con claridad.</t>
        </is>
      </c>
      <c r="L9" s="42" t="inlineStr">
        <is>
          <t>Buena organización; tiempos sin parametrizar.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I4-7740</t>
        </is>
      </c>
      <c r="B10" s="39" t="inlineStr">
        <is>
          <t>Compila. Falla 3 de 6 pasos del harness (pasos 2,3,4;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Falla la transición principal: los temporizadores se resetean arriba y no se llaman en estado 1; paro sólo en estado 3.</t>
        </is>
      </c>
      <c r="J10" s="42" t="inlineStr">
        <is>
          <t>Transición muerta por temporizador sin avance y paro no global.</t>
        </is>
      </c>
      <c r="K10" s="42" t="inlineStr">
        <is>
          <t>Comentarios simples y estructura CASE, pero sin secciones.</t>
        </is>
      </c>
      <c r="L10" s="42" t="inlineStr">
        <is>
          <t>Tiempos fijos y lógica de paro repetida o incompleta.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I4-3109</t>
        </is>
      </c>
      <c r="B11" s="39" t="inlineStr">
        <is>
          <t>Compila. Falla 3 de 6 pasos del harness (pasos 2,3,5; numerados desde 0).</t>
        </is>
      </c>
      <c r="C11" s="41" t="n">
        <v>0</v>
      </c>
      <c r="D11" s="41" t="n">
        <v>2</v>
      </c>
      <c r="E11" s="41" t="n">
        <v>0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No llama al temporizador en estado 1; no conmuta a triángulo.</t>
        </is>
      </c>
      <c r="J11" s="42" t="inlineStr">
        <is>
          <t>El temporizador de estrella no se actualiza en espera, dejando la secuencia muerta.</t>
        </is>
      </c>
      <c r="K11" s="42" t="inlineStr">
        <is>
          <t>Comentarios claros y nombres aceptables.</t>
        </is>
      </c>
      <c r="L11" s="42" t="inlineStr">
        <is>
          <t>Tiempos mágicos y lógica de temporizador dispersa.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I4-4531</t>
        </is>
      </c>
      <c r="B12" s="39" t="inlineStr">
        <is>
          <t>Compila. Pasa los 6 pasos del harness.</t>
        </is>
      </c>
      <c r="C12" s="40" t="n">
        <v>3</v>
      </c>
      <c r="D12" s="41" t="n">
        <v>2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Funcional fijado en 3; IEC correcto con TON, aunque los comentarios // son una extensión menor.</t>
        </is>
      </c>
      <c r="J12" s="42" t="inlineStr">
        <is>
          <t>Enclavamiento marcha/paro con prioridad a paro y enclavamientos mutuos.</t>
        </is>
      </c>
      <c r="K12" s="42" t="inlineStr">
        <is>
          <t>Secciones numeradas y comentarios útiles.</t>
        </is>
      </c>
      <c r="L12" s="42" t="inlineStr">
        <is>
          <t>Cambios localizados en temporizadores y lógica booleana sin duplicación.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I4-6607</t>
        </is>
      </c>
      <c r="B13" s="39" t="inlineStr">
        <is>
          <t>Compila. Falla 3 de 6 pasos del harness (pasos 2,3,5;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Temporizadores no llamados en los estados de espera; no transiciona a triángulo.</t>
        </is>
      </c>
      <c r="J13" s="42" t="inlineStr">
        <is>
          <t>Secuencia muerta por falta de actualización de TON en estado 1/2.</t>
        </is>
      </c>
      <c r="K13" s="42" t="inlineStr">
        <is>
          <t>Comentarios y nombres claros.</t>
        </is>
      </c>
      <c r="L13" s="42" t="inlineStr">
        <is>
          <t>Tiempos fijos y lógica de temporizador repartida.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I4-6264</t>
        </is>
      </c>
      <c r="B14" s="39" t="inlineStr">
        <is>
          <t>Compila. Falla 3 de 6 pasos del harness (pasos 2,3,5; numerados desde 0).</t>
        </is>
      </c>
      <c r="C14" s="41" t="n">
        <v>0</v>
      </c>
      <c r="D14" s="41" t="n">
        <v>2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Temporizadores no llamados en los estados de espera; no transiciona a triángulo.</t>
        </is>
      </c>
      <c r="J14" s="42" t="inlineStr">
        <is>
          <t>Secuencia muerta por falta de actualización de TON en estado 1/2.</t>
        </is>
      </c>
      <c r="K14" s="42" t="inlineStr">
        <is>
          <t>Comentarios y nombres claros.</t>
        </is>
      </c>
      <c r="L14" s="42" t="inlineStr">
        <is>
          <t>Tiempos fijos y lógica de temporizador repartida.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I4-2405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Funcional fijado en 3; uso idiomático de TON y lógica booleana estándar.</t>
        </is>
      </c>
      <c r="J15" s="42" t="inlineStr">
        <is>
          <t>Enclavamiento de marcha con paro prioritario y transición temporizada robusta.</t>
        </is>
      </c>
      <c r="K15" s="42" t="inlineStr">
        <is>
          <t>Comentarios y secciones claras.</t>
        </is>
      </c>
      <c r="L15" s="42" t="inlineStr">
        <is>
          <t>Lógica localizada y legible; tiempos sin parametrizar.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I4-2644</t>
        </is>
      </c>
      <c r="B16" s="39" t="inlineStr">
        <is>
          <t>Compila. Pasa los 6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Funcional fijado en 3; uso idiomático de TON y lógica booleana estándar.</t>
        </is>
      </c>
      <c r="J16" s="42" t="inlineStr">
        <is>
          <t>Enclavamiento de marcha robusto y secuencia de fases coherente.</t>
        </is>
      </c>
      <c r="K16" s="42" t="inlineStr">
        <is>
          <t>Comentarios claros y explicación del enclavamiento.</t>
        </is>
      </c>
      <c r="L16" s="42" t="inlineStr">
        <is>
          <t>Lógica localizada; tiempos fijos.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I4-1547</t>
        </is>
      </c>
      <c r="B17" s="39" t="inlineStr">
        <is>
          <t>Compila sola, pero no se pudo simular: declara las entradas donde el harness no puede escribirlas ('btnMarcha' no es ninguna entrada de 'FB_ESTRELLATRIANGULO').</t>
        </is>
      </c>
      <c r="C17" s="41" t="n">
        <v>0</v>
      </c>
      <c r="D17" s="41" t="n">
        <v>1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42" t="inlineStr">
        <is>
          <t>No se pudo simular por interfaz no conforme (VAR en lugar de VAR_INPUT) y usa END_FUNCTION_BLOCK no estándar; además los temporizadores no avanzan en los estados activos.</t>
        </is>
      </c>
      <c r="J17" s="42" t="inlineStr">
        <is>
          <t>Reseteo de temporizadores que impide la transición de fase.</t>
        </is>
      </c>
      <c r="K17" s="42" t="inlineStr">
        <is>
          <t>Comentarios básicos y estructura poco clara.</t>
        </is>
      </c>
      <c r="L17" s="42" t="inlineStr">
        <is>
          <t>Valores fijos y lógica dispersa.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I4-6164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CONST fuera de lugar y temporizadores TP sin actualización; el código no operaría aunque compilara.</t>
        </is>
      </c>
      <c r="K18" s="42" t="inlineStr">
        <is>
          <t>Nombres y comentarios aceptables, pero estructura inválida.</t>
        </is>
      </c>
      <c r="L18" s="42" t="inlineStr">
        <is>
          <t>Intento de constantes fallido y valores fijos.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I4-8729</t>
        </is>
      </c>
      <c r="B19" s="39" t="inlineStr">
        <is>
          <t>Compila. Falla 2 de 6 pasos del harness (pasos 2,3;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Resetea los temporizadores cada ciclo, impidiendo la transición a triángulo.</t>
        </is>
      </c>
      <c r="J19" s="42" t="inlineStr">
        <is>
          <t>Transición muerta por doble llamada o reseteo de temporizadores.</t>
        </is>
      </c>
      <c r="K19" s="42" t="inlineStr">
        <is>
          <t>Código con comentarios por estado.</t>
        </is>
      </c>
      <c r="L19" s="42" t="inlineStr">
        <is>
          <t>Tiempos centralizados pero fijos.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I4-6563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Funcional fijado en 3; IEC idiomático con TON y enclavamiento booleano.</t>
        </is>
      </c>
      <c r="J20" s="42" t="inlineStr">
        <is>
          <t>Memoria de marcha con paro prioritario y enclavamientos correctos.</t>
        </is>
      </c>
      <c r="K20" s="42" t="inlineStr">
        <is>
          <t>Comentarios claros y lógica compacta.</t>
        </is>
      </c>
      <c r="L20" s="42" t="inlineStr">
        <is>
          <t>Cambios localizados; tiempos sin parametrizar.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I4-4147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Funcional fijado en 3; IEC idiomático con TON y lógica booleana estándar.</t>
        </is>
      </c>
      <c r="J21" s="42" t="inlineStr">
        <is>
          <t>Enclavamiento de marcha con paro prioritario y transiciones coherentes.</t>
        </is>
      </c>
      <c r="K21" s="42" t="inlineStr">
        <is>
          <t>Comentarios claros y asignaciones bien separadas.</t>
        </is>
      </c>
      <c r="L21" s="42" t="inlineStr">
        <is>
          <t>Lógica localizada; tiempos sin parametrizar.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I4-3062</t>
        </is>
      </c>
      <c r="B22" s="39" t="inlineStr">
        <is>
          <t>Compila. Falla 2 de 6 pasos del harness (pasos 1,3; numerados desde 0).</t>
        </is>
      </c>
      <c r="C22" s="41" t="n">
        <v>0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Usa TP en lugar de TON y no lo actualiza en espera; falla fase estrella y tiempo muerto.</t>
        </is>
      </c>
      <c r="J22" s="42" t="inlineStr">
        <is>
          <t>Lógica entendible, pero el manejo de temporizadores no garantiza la secuencia temporal.</t>
        </is>
      </c>
      <c r="K22" s="42" t="inlineStr">
        <is>
          <t>Comentarios y estados documentados.</t>
        </is>
      </c>
      <c r="L22" s="42" t="inlineStr">
        <is>
          <t>Tiempos mágicos y transiciones dependientes de temporizadores no actualizados.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I4-2763</t>
        </is>
      </c>
      <c r="B23" s="39" t="inlineStr">
        <is>
          <t>Compila. Falla 1 de 6 pasos del harness (pasos 5; numerados desde 0).</t>
        </is>
      </c>
      <c r="C23" s="41" t="n">
        <v>1</v>
      </c>
      <c r="D23" s="41" t="n">
        <v>2</v>
      </c>
      <c r="E23" s="41" t="n">
        <v>1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Solo falla el rearranque: asigna .IN del TON pero no ejecuta la llamada para resetearlo.</t>
        </is>
      </c>
      <c r="J23" s="42" t="inlineStr">
        <is>
          <t>Estructura coherente, pero reset incompleto tras paro provoca fallo en rearranque.</t>
        </is>
      </c>
      <c r="K23" s="42" t="inlineStr">
        <is>
          <t>Excelente documentación de estados y transiciones.</t>
        </is>
      </c>
      <c r="L23" s="42" t="inlineStr">
        <is>
          <t>Máquina de estados clara; tiempos inline.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I4-8365</t>
        </is>
      </c>
      <c r="B24" s="39" t="inlineStr">
        <is>
          <t>Compila. Pasa los 6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Funcional fijado en 3; uso idiomático de TON y enclavamientos.</t>
        </is>
      </c>
      <c r="J24" s="42" t="inlineStr">
        <is>
          <t>Memoria de marcha con paro prioritario y enclavamientos completos.</t>
        </is>
      </c>
      <c r="K24" s="42" t="inlineStr">
        <is>
          <t>Comentarios claros y lógica compacta.</t>
        </is>
      </c>
      <c r="L24" s="42" t="inlineStr">
        <is>
          <t>Cambios localizados; tiempos fijos.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I4-2920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Funcional fijado en 3; uso idiomático de TON y comentarios estándar.</t>
        </is>
      </c>
      <c r="J25" s="42" t="inlineStr">
        <is>
          <t>Lógica de marcha segura y enclavamientos correctos.</t>
        </is>
      </c>
      <c r="K25" s="42" t="inlineStr">
        <is>
          <t>Comentarios útiles y lógica clara.</t>
        </is>
      </c>
      <c r="L25" s="42" t="inlineStr">
        <is>
          <t>Cambios localizados; tiempos sin parametrizar.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I4-7806</t>
        </is>
      </c>
      <c r="B26" s="39" t="inlineStr">
        <is>
          <t>Compila. Falla 3 de 6 pasos del harness (pasos 2,3,5;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Temporizadores no se llaman en estado 1/2; no transiciona a triángulo.</t>
        </is>
      </c>
      <c r="J26" s="42" t="inlineStr">
        <is>
          <t>Secuencia muerta por falta de actualización de TON.</t>
        </is>
      </c>
      <c r="K26" s="42" t="inlineStr">
        <is>
          <t>Comentarios básicos y poca organización.</t>
        </is>
      </c>
      <c r="L26" s="42" t="inlineStr">
        <is>
          <t>Valores fijos y lógica dispersa.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I4-7176</t>
        </is>
      </c>
      <c r="B27" s="39" t="inlineStr">
        <is>
          <t>No compila (2 errores).</t>
        </is>
      </c>
      <c r="C27" s="40" t="n">
        <v>0</v>
      </c>
      <c r="D27" s="40" t="n">
        <v>0</v>
      </c>
      <c r="E27" s="41" t="n">
        <v>0</v>
      </c>
      <c r="F27" s="41" t="n">
        <v>1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Constantes mal ubicadas y temporizadores sin actualización; no operaría.</t>
        </is>
      </c>
      <c r="K27" s="42" t="inlineStr">
        <is>
          <t>Nombres claros pero estructura inválida.</t>
        </is>
      </c>
      <c r="L27" s="42" t="inlineStr">
        <is>
          <t>Intento de constantes fallido y valores fijos.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I4-8454</t>
        </is>
      </c>
      <c r="B28" s="39" t="inlineStr">
        <is>
          <t>Compila. Pasa los 6 pasos del harness.</t>
        </is>
      </c>
      <c r="C28" s="40" t="n">
        <v>3</v>
      </c>
      <c r="D28" s="41" t="n">
        <v>3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42" t="inlineStr">
        <is>
          <t>Funcional fijado en 3; uso idiomático de TON y enclavamientos.</t>
        </is>
      </c>
      <c r="J28" s="42" t="inlineStr">
        <is>
          <t>Memoria de marcha con paro prioritario y enclavamientos completos.</t>
        </is>
      </c>
      <c r="K28" s="42" t="inlineStr">
        <is>
          <t>Comentarios claros y lógica compacta.</t>
        </is>
      </c>
      <c r="L28" s="42" t="inlineStr">
        <is>
          <t>Cambios localizados; tiempos fijos.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I4-1208</t>
        </is>
      </c>
      <c r="B29" s="39" t="inlineStr">
        <is>
          <t>Compila. Pasa los 6 pasos del harness.</t>
        </is>
      </c>
      <c r="C29" s="40" t="n">
        <v>3</v>
      </c>
      <c r="D29" s="41" t="n">
        <v>2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Funcional fijado en 3; IEC correcto con TON, aunque los comentarios // son una extensión menor.</t>
        </is>
      </c>
      <c r="J29" s="42" t="inlineStr">
        <is>
          <t>Memoria de marcha con paro prioritario y enclavamientos correctos.</t>
        </is>
      </c>
      <c r="K29" s="42" t="inlineStr">
        <is>
          <t>Comentarios claros y lógica bien seccionada.</t>
        </is>
      </c>
      <c r="L29" s="42" t="inlineStr">
        <is>
          <t>Cambios localizados; tiempos sin parametrizar.</t>
        </is>
      </c>
      <c r="M29" s="42" t="n"/>
      <c r="N29" s="40">
        <f>IF(COUNT(C29:G29)=5,"Completa","Falta")</f>
        <v/>
      </c>
    </row>
    <row r="30"/>
  </sheetData>
  <dataValidations count="3">
    <dataValidation sqref="C7:C8 C10:C11 C13:C14 C17 C19 C22:C23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7 D19:D26 D2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I5 — Banda con clasificación por sensores (Intermedio)</t>
        </is>
      </c>
    </row>
    <row r="2" ht="15" customHeight="1" s="22">
      <c r="A2" s="33" t="inlineStr">
        <is>
          <t>Lee cada respuesta por su código en respuestas/Respuestas_I5.html.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I5-9795</t>
        </is>
      </c>
      <c r="B6" s="39" t="inlineStr">
        <is>
          <t>Compila. Pasa los 7 pasos del harness.</t>
        </is>
      </c>
      <c r="C6" s="40" t="n">
        <v>3</v>
      </c>
      <c r="D6" s="41" t="n">
        <v>2</v>
      </c>
      <c r="E6" s="41" t="n">
        <v>1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Compila con TON/TP/R_TRIG estándar, pero la limpieza con ET/T#2S no es idiomática.</t>
        </is>
      </c>
      <c r="J6" s="42" t="inlineStr">
        <is>
          <t>La bandera bPiezaAlta no se limpia de forma alcanzable; fallaría con una segunda pieza alta.</t>
        </is>
      </c>
      <c r="K6" s="42" t="inlineStr">
        <is>
          <t>Nombres y secciones claros, aunque los comentarios de limpieza confunden.</t>
        </is>
      </c>
      <c r="L6" s="42" t="inlineStr">
        <is>
          <t>Lógica de limpieza duplicada y tiempos literales; es frágil de modificar.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I5-6031</t>
        </is>
      </c>
      <c r="B7" s="39" t="inlineStr">
        <is>
          <t>Compila. Pasa los 7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IEC idiomática con R_TRIG/TON/TP.</t>
        </is>
      </c>
      <c r="J7" s="42" t="inlineStr">
        <is>
          <t>Inicialización correcta y transiciones completas; lógica sin estados muertos.</t>
        </is>
      </c>
      <c r="K7" s="42" t="inlineStr">
        <is>
          <t>Nombres descriptivos y comentarios ordenados, aunque sin secciones numeradas.</t>
        </is>
      </c>
      <c r="L7" s="42" t="inlineStr">
        <is>
          <t>Tiempos literales localizados; cambio sencillo.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I5-2725</t>
        </is>
      </c>
      <c r="B8" s="39" t="inlineStr">
        <is>
          <t>No compila (4 errores).</t>
        </is>
      </c>
      <c r="C8" s="40" t="n">
        <v>0</v>
      </c>
      <c r="D8" s="40" t="n">
        <v>0</v>
      </c>
      <c r="E8" s="41" t="n">
        <v>0</v>
      </c>
      <c r="F8" s="41" t="n">
        <v>1</v>
      </c>
      <c r="G8" s="41" t="n">
        <v>1</v>
      </c>
      <c r="H8" s="40">
        <f>IF(COUNT(C8:G8)=5,SUM(C8:G8),"")</f>
        <v/>
      </c>
      <c r="I8" s="39" t="inlineStr"/>
      <c r="J8" s="42" t="inlineStr">
        <is>
          <t>Temporizadores no se llaman por ciclo y la altura se evalúa tras el retardo, no en el flanco.</t>
        </is>
      </c>
      <c r="K8" s="42" t="inlineStr">
        <is>
          <t>Nombres básicos y comentarios, pero sintaxis inválida y flujo desordenado.</t>
        </is>
      </c>
      <c r="L8" s="42" t="inlineStr">
        <is>
          <t>Valores mágicos y lógica repetida; requiere reescritura.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I5-5960</t>
        </is>
      </c>
      <c r="B9" s="39" t="inlineStr">
        <is>
          <t>Compila. Pasa los 7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 idiomática con R_TRIG/TON/TP.</t>
        </is>
      </c>
      <c r="J9" s="42" t="inlineStr">
        <is>
          <t>Contadores inicializados y secuencia de flanco/temporización robusta.</t>
        </is>
      </c>
      <c r="K9" s="42" t="inlineStr">
        <is>
          <t>Código ordenado con pasos numerados y comentarios claros.</t>
        </is>
      </c>
      <c r="L9" s="42" t="inlineStr">
        <is>
          <t>Tiempos fijos como literales; cambio localizado pero no parametrizado.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I5-5429</t>
        </is>
      </c>
      <c r="B10" s="39" t="inlineStr">
        <is>
          <t>Compila. Pasa los 7 pasos del harness.</t>
        </is>
      </c>
      <c r="C10" s="40" t="n">
        <v>3</v>
      </c>
      <c r="D10" s="41" t="n">
        <v>2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Bloques estándar correctos, aunque el pulso con TON y salida manual no es idiomático.</t>
        </is>
      </c>
      <c r="J10" s="42" t="inlineStr">
        <is>
          <t>Lógica consistente y robusta; limpia piezaAlta al terminar el pistón.</t>
        </is>
      </c>
      <c r="K10" s="42" t="inlineStr">
        <is>
          <t>Secciones delimitadas y comentarios que explican el razonamiento.</t>
        </is>
      </c>
      <c r="L10" s="42" t="inlineStr">
        <is>
          <t>Tiempos T#2S/T#1S embebidos; modificación localizada.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I5-7024</t>
        </is>
      </c>
      <c r="B11" s="39" t="inlineStr">
        <is>
          <t>Compila. Falla 3 de 7 pasos del harness (pasos 3,4,5; numerados desde 0).</t>
        </is>
      </c>
      <c r="C11" s="41" t="n">
        <v>1</v>
      </c>
      <c r="D11" s="41" t="n">
        <v>2</v>
      </c>
      <c r="E11" s="41" t="n">
        <v>1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Funcional: cuenta nAltas al terminar el pulso, no al flanco; IEC: TON estándar no idiomático para pulso.</t>
        </is>
      </c>
      <c r="J11" s="42" t="inlineStr">
        <is>
          <t>Asignaciones muertas y conteo fuera de fase; la lógica no refleja el orden requerido.</t>
        </is>
      </c>
      <c r="K11" s="42" t="inlineStr">
        <is>
          <t>Secciones y nombres claros, aunque la lógica comentada no revela el defecto.</t>
        </is>
      </c>
      <c r="L11" s="42" t="inlineStr">
        <is>
          <t>Tiempos literales y conteo disperso; ajuste delicado.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I5-3559</t>
        </is>
      </c>
      <c r="B12" s="39" t="inlineStr">
        <is>
          <t>Compila. Falla 6 de 7 pasos del harness (pasos 1,2,3,4,5,6; numerados desde 0).</t>
        </is>
      </c>
      <c r="C12" s="41" t="n">
        <v>0</v>
      </c>
      <c r="D12" s="41" t="n">
        <v>2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42" t="inlineStr">
        <is>
          <t>No procesa correctamente bajas ni altas; TON compila pero mal usado.</t>
        </is>
      </c>
      <c r="J12" s="42" t="inlineStr">
        <is>
          <t>piezaDetectada y los temporizadores bloquean la operación; el pistón no completa.</t>
        </is>
      </c>
      <c r="K12" s="42" t="inlineStr">
        <is>
          <t>Nombres básicos y comentarios escasos.</t>
        </is>
      </c>
      <c r="L12" s="42" t="inlineStr">
        <is>
          <t>Poca separación lógica; requiere reescritura.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I5-2602</t>
        </is>
      </c>
      <c r="B13" s="39" t="inlineStr">
        <is>
          <t>Compila. Falla 6 de 7 pasos del harness (pasos 1,2,3,4,5,6; numerados desde 0).</t>
        </is>
      </c>
      <c r="C13" s="41" t="n">
        <v>0</v>
      </c>
      <c r="D13" s="41" t="n">
        <v>2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Cuenta por nivel y el temporizador de pistón no se llama cíclicamente; no funciona.</t>
        </is>
      </c>
      <c r="J13" s="42" t="inlineStr">
        <is>
          <t>Conteo repetido por scan y temporizadores sin evaluación periódica.</t>
        </is>
      </c>
      <c r="K13" s="42" t="inlineStr">
        <is>
          <t>Nombres aceptables pero flujo desordenado.</t>
        </is>
      </c>
      <c r="L13" s="42" t="inlineStr">
        <is>
          <t>Lógica frágil y sin parametrizar.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I5-3769</t>
        </is>
      </c>
      <c r="B14" s="39" t="inlineStr">
        <is>
          <t>Compila. Falla 6 de 7 pasos del harness (pasos 1,2,3,4,5,6; numerados desde 0).</t>
        </is>
      </c>
      <c r="C14" s="41" t="n">
        <v>0</v>
      </c>
      <c r="D14" s="41" t="n">
        <v>2</v>
      </c>
      <c r="E14" s="41" t="n">
        <v>0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Conteo por nivel y tPulso no se mantiene en ejecución; no funciona.</t>
        </is>
      </c>
      <c r="J14" s="42" t="inlineStr">
        <is>
          <t>Condiciones de disparo y banderas se contradicen con la temporización requerida.</t>
        </is>
      </c>
      <c r="K14" s="42" t="inlineStr">
        <is>
          <t>Comentarios breves y estructura simple.</t>
        </is>
      </c>
      <c r="L14" s="42" t="inlineStr">
        <is>
          <t>Constantes mágicas y lógica no modular.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I5-4146</t>
        </is>
      </c>
      <c r="B15" s="39" t="inlineStr">
        <is>
          <t>Compila. Falla 4 de 7 pasos del harness (pasos 3,4,5,6; numerados desde 0).</t>
        </is>
      </c>
      <c r="C15" s="41" t="n">
        <v>0</v>
      </c>
      <c r="D15" s="41" t="n">
        <v>2</v>
      </c>
      <c r="E15" s="41" t="n">
        <v>0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Activa el pistón de inmediato y cuenta nAltas tarde; TON compila.</t>
        </is>
      </c>
      <c r="J15" s="42" t="inlineStr">
        <is>
          <t>Salida pistón activa antes del retardo y temporizador de pistón sin avance.</t>
        </is>
      </c>
      <c r="K15" s="42" t="inlineStr">
        <is>
          <t>Nombres descriptivos y comentarios, estructura básica.</t>
        </is>
      </c>
      <c r="L15" s="42" t="inlineStr">
        <is>
          <t>Múltiples temporizadores con literales, sin parametrizar.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I5-8743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 idiomática con R_TRIG/TON/TP.</t>
        </is>
      </c>
      <c r="J16" s="42" t="inlineStr">
        <is>
          <t>Ciclo completo, limpia esperandoPiston y trata bien las piezas secuenciales.</t>
        </is>
      </c>
      <c r="K16" s="42" t="inlineStr">
        <is>
          <t>Buenas secciones y nombres, comentarios útiles.</t>
        </is>
      </c>
      <c r="L16" s="42" t="inlineStr">
        <is>
          <t>Tiempos fijos literales; cambio localizado.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I5-3551</t>
        </is>
      </c>
      <c r="B17" s="39" t="inlineStr">
        <is>
          <t>Compila. Falla 7 de 7 pasos del harness (pasos 0,1,2,3,4,5,6; numerados desde 0).</t>
        </is>
      </c>
      <c r="C17" s="41" t="n">
        <v>0</v>
      </c>
      <c r="D17" s="41" t="n">
        <v>2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42" t="inlineStr">
        <is>
          <t>Falla desde reposo por conteo en ELSE; TP compila pero mal aplicado.</t>
        </is>
      </c>
      <c r="J17" s="42" t="inlineStr">
        <is>
          <t>El ELSE incrementa nBajas continuamente y el temporizador no se evalúa bien.</t>
        </is>
      </c>
      <c r="K17" s="42" t="inlineStr">
        <is>
          <t>Estructura mínima y comentarios escasos.</t>
        </is>
      </c>
      <c r="L17" s="42" t="inlineStr">
        <is>
          <t>Lógica repetida y constantes dispersas.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I5-3570</t>
        </is>
      </c>
      <c r="B18" s="39" t="inlineStr">
        <is>
          <t>No compila (4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Lógica con temporizadores no periódicos y evaluación de altura en el momento incorrecto.</t>
        </is>
      </c>
      <c r="K18" s="42" t="inlineStr">
        <is>
          <t>Nombres básicos, pero código inválido y comentarios no compensan.</t>
        </is>
      </c>
      <c r="L18" s="42" t="inlineStr">
        <is>
          <t>Uso de PTR incorrecto y constantes mágicas; requiere reescritura.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I5-9566</t>
        </is>
      </c>
      <c r="B19" s="39" t="inlineStr">
        <is>
          <t>Compila. Falla 4 de 7 pasos del harness (pasos 3,4,5,6;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Pistón queda activo y nAltas tardío; TON compila pero no se evalúa cada ciclo.</t>
        </is>
      </c>
      <c r="J19" s="42" t="inlineStr">
        <is>
          <t>Condiciones muertas para apagar el pistón y conteo alto inalcanzable.</t>
        </is>
      </c>
      <c r="K19" s="42" t="inlineStr">
        <is>
          <t>Nombres descriptivos y comentarios básicos ordenados.</t>
        </is>
      </c>
      <c r="L19" s="42" t="inlineStr">
        <is>
          <t>Literales de tiempo y lógica frágil.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I5-2807</t>
        </is>
      </c>
      <c r="B20" s="39" t="inlineStr">
        <is>
          <t>Compila. Falla 6 de 7 pasos del harness (pasos 1,2,3,4,5,6; numerados desde 0).</t>
        </is>
      </c>
      <c r="C20" s="41" t="n">
        <v>0</v>
      </c>
      <c r="D20" s="41" t="n">
        <v>2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Con TP, tEspera.Q es activo de inmediato; pistón se activa incluso en pieza baja.</t>
        </is>
      </c>
      <c r="J20" s="42" t="inlineStr">
        <is>
          <t>Temporización invertida: el retardo no retarda; banderas se pierden.</t>
        </is>
      </c>
      <c r="K20" s="42" t="inlineStr">
        <is>
          <t>Nombres básicos y comentarios escasos.</t>
        </is>
      </c>
      <c r="L20" s="42" t="inlineStr">
        <is>
          <t>Constantes dispersas y lógica no parametrizada.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I5-9964</t>
        </is>
      </c>
      <c r="B21" s="39" t="inlineStr">
        <is>
          <t>Compila. Falla 6 de 7 pasos del harness (pasos 1,2,3,4,5,6; numerados desde 0).</t>
        </is>
      </c>
      <c r="C21" s="41" t="n">
        <v>0</v>
      </c>
      <c r="D21" s="41" t="n">
        <v>2</v>
      </c>
      <c r="E21" s="41" t="n">
        <v>0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No declara nAltas/nBajas como salidas y el pistón queda enclavado; IEC compila con tipos estándar.</t>
        </is>
      </c>
      <c r="J21" s="42" t="inlineStr">
        <is>
          <t>Estado 2 no llama timer2 por ciclo; no hay transición de apagado.</t>
        </is>
      </c>
      <c r="K21" s="42" t="inlineStr">
        <is>
          <t>Máquina de estados estructurada y nombres legibles.</t>
        </is>
      </c>
      <c r="L21" s="42" t="inlineStr">
        <is>
          <t>Sin parametrizar y temporizadores embebidos.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I5-4776</t>
        </is>
      </c>
      <c r="B22" s="39" t="inlineStr">
        <is>
          <t>Compila. Pasa los 7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IEC idiomática con R_TRIG/TP/F_TRIG.</t>
        </is>
      </c>
      <c r="J22" s="42" t="inlineStr">
        <is>
          <t>Fases de retardo y pulso separadas; sin estados residuales.</t>
        </is>
      </c>
      <c r="K22" s="42" t="inlineStr">
        <is>
          <t>Secciones claras y comentarios explican el porqué.</t>
        </is>
      </c>
      <c r="L22" s="42" t="inlineStr">
        <is>
          <t>Tiempos literales; lógica central limpia.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I5-8715</t>
        </is>
      </c>
      <c r="B23" s="39" t="inlineStr">
        <is>
          <t>Compila. Falla 1 de 7 pasos del harness (pasos 5;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Pistón dura un solo ciclo porque tPiston arranca y se resetea; TON estándar no idiomático.</t>
        </is>
      </c>
      <c r="J23" s="42" t="inlineStr">
        <is>
          <t>tPiston nunca llega a Q; IF tPiston.Q es inalcanzable en la práctica.</t>
        </is>
      </c>
      <c r="K23" s="42" t="inlineStr">
        <is>
          <t>Buenas secciones y nombres; comentario sobre flanco es engañoso.</t>
        </is>
      </c>
      <c r="L23" s="42" t="inlineStr">
        <is>
          <t>Tiempos literales, pero lógica localizada.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I5-6743</t>
        </is>
      </c>
      <c r="B24" s="39" t="inlineStr">
        <is>
          <t>Compila. Pasa los 7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 idiomática con R_TRIG/TP/F_TRIG.</t>
        </is>
      </c>
      <c r="J24" s="42" t="inlineStr">
        <is>
          <t>Fases de retardo y pulso bien separadas; sin estados muertos.</t>
        </is>
      </c>
      <c r="K24" s="42" t="inlineStr">
        <is>
          <t>Secciones y nombres claros; comentarios útiles.</t>
        </is>
      </c>
      <c r="L24" s="42" t="inlineStr">
        <is>
          <t>Tiempos fijos literales; cambio localizado.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I5-6738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 idiomática con R_TRIG/TON/TP.</t>
        </is>
      </c>
      <c r="J25" s="42" t="inlineStr">
        <is>
          <t>Lógica directa, con inicialización correcta y transiciones completas.</t>
        </is>
      </c>
      <c r="K25" s="42" t="inlineStr">
        <is>
          <t>Nombres descriptivos y comentarios breves adecuados.</t>
        </is>
      </c>
      <c r="L25" s="42" t="inlineStr">
        <is>
          <t>Tiempos literales localizados; modificación sencilla.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I5-6315</t>
        </is>
      </c>
      <c r="B26" s="39" t="inlineStr">
        <is>
          <t>Compila. Pasa los 7 pasos del harness.</t>
        </is>
      </c>
      <c r="C26" s="40" t="n">
        <v>3</v>
      </c>
      <c r="D26" s="41" t="n">
        <v>2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Bloques estándar correctos, pero la limpieza de bandera no es idiomática.</t>
        </is>
      </c>
      <c r="J26" s="42" t="inlineStr">
        <is>
          <t>Funciona, aunque la limpieza de piezaAlta queda acoplada al estado de tRetardo.Q.</t>
        </is>
      </c>
      <c r="K26" s="42" t="inlineStr">
        <is>
          <t>Nombres y secciones claros; comentario simplificado.</t>
        </is>
      </c>
      <c r="L26" s="42" t="inlineStr">
        <is>
          <t>Tiempos literales; lógica compacta.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I5-3665</t>
        </is>
      </c>
      <c r="B27" s="39" t="inlineStr">
        <is>
          <t>Compila. Pasa los 7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 idiomática con R_TRIG/TP/F_TRIG.</t>
        </is>
      </c>
      <c r="J27" s="42" t="inlineStr">
        <is>
          <t>Retardo y pulso separados; lógica robusta para piezas secuenciales.</t>
        </is>
      </c>
      <c r="K27" s="42" t="inlineStr">
        <is>
          <t>Código claro con comentarios breves; nombres descriptivos.</t>
        </is>
      </c>
      <c r="L27" s="42" t="inlineStr">
        <is>
          <t>Tiempos literales; estructura simple de modificar.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I5-2293</t>
        </is>
      </c>
      <c r="B28" s="39" t="inlineStr">
        <is>
          <t>Compila. Falla 6 de 7 pasos del harness (pasos 1,2,3,4,5,6; numerados desde 0).</t>
        </is>
      </c>
      <c r="C28" s="41" t="n">
        <v>0</v>
      </c>
      <c r="D28" s="41" t="n">
        <v>2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42" t="inlineStr">
        <is>
          <t>Cuenta por nivel y tPulso no se mantiene en ejecución; no funciona.</t>
        </is>
      </c>
      <c r="J28" s="42" t="inlineStr">
        <is>
          <t>Conteo repetido por scan y temporizador sin avance periódico.</t>
        </is>
      </c>
      <c r="K28" s="42" t="inlineStr">
        <is>
          <t>Nombres básicos y estructura mínima.</t>
        </is>
      </c>
      <c r="L28" s="42" t="inlineStr">
        <is>
          <t>Lógica frágil y constantes mágicas.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I5-8675</t>
        </is>
      </c>
      <c r="B29" s="39" t="inlineStr">
        <is>
          <t>Compila. Falla 7 de 7 pasos del harness (pasos 0,1,2,3,4,5,6; numerados desde 0).</t>
        </is>
      </c>
      <c r="C29" s="41" t="n">
        <v>0</v>
      </c>
      <c r="D29" s="41" t="n">
        <v>2</v>
      </c>
      <c r="E29" s="41" t="n">
        <v>0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Falla desde reposo por conteo en ELSE; TP compila pero mal aplicado.</t>
        </is>
      </c>
      <c r="J29" s="42" t="inlineStr">
        <is>
          <t>ELSE incrementa nBajas continuamente y la bandera se resetea mal.</t>
        </is>
      </c>
      <c r="K29" s="42" t="inlineStr">
        <is>
          <t>Estructura mínima y comentarios escasos.</t>
        </is>
      </c>
      <c r="L29" s="42" t="inlineStr">
        <is>
          <t>Constantes dispersas y lógica no parametrizada.</t>
        </is>
      </c>
      <c r="M29" s="42" t="n"/>
      <c r="N29" s="40">
        <f>IF(COUNT(C29:G29)=5,"Completa","Falta")</f>
        <v/>
      </c>
    </row>
    <row r="30"/>
  </sheetData>
  <dataValidations count="3">
    <dataValidation sqref="C11:C15 C17 C19:C21 C23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7 D9:D17 D19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I6 — Escalado analógico con histéresis (Intermedio)</t>
        </is>
      </c>
    </row>
    <row r="2" ht="15" customHeight="1" s="22">
      <c r="A2" s="33" t="inlineStr">
        <is>
          <t>Lee cada respuesta por su código en respuestas/Respuestas_I6.html.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I6-6450</t>
        </is>
      </c>
      <c r="B6" s="39" t="inlineStr">
        <is>
          <t>Compila. Pasa los 8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Funcional fijado; iec: usa INT_TO_REAL y tipos correctos, idiomático.</t>
        </is>
      </c>
      <c r="J6" s="42" t="inlineStr">
        <is>
          <t>Sin contradicciones; interlock de alarma apaga enfriador y lógica de histéresis completa.</t>
        </is>
      </c>
      <c r="K6" s="42" t="inlineStr">
        <is>
          <t>Nombres descriptivos y comentarios breves; estructura lineal clara.</t>
        </is>
      </c>
      <c r="L6" s="42" t="inlineStr">
        <is>
          <t>Umbrales y rango como literales mágicos; cambios requieren tocar lógica.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I6-3905</t>
        </is>
      </c>
      <c r="B7" s="39" t="inlineStr">
        <is>
          <t>Compila. Pasa los 8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Funcional fijado; iec: usa INT_TO_REAL y estructura idiomática.</t>
        </is>
      </c>
      <c r="J7" s="42" t="inlineStr">
        <is>
          <t>Sin contradicciones; alarma desactiva el enfriador y la histéresis conserva estado.</t>
        </is>
      </c>
      <c r="K7" s="42" t="inlineStr">
        <is>
          <t>Nombres claros y comentarios breves; secciones distinguibles.</t>
        </is>
      </c>
      <c r="L7" s="42" t="inlineStr">
        <is>
          <t>Valores de rango y umbrales mágicos; poca parametrización.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I6-1333</t>
        </is>
      </c>
      <c r="B8" s="39" t="inlineStr">
        <is>
          <t>Compila. Pasa los 8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fijado; iec: tipos correctos, aunque usa conversión implícita en rawTemp/276.48.</t>
        </is>
      </c>
      <c r="J8" s="42" t="inlineStr">
        <is>
          <t>Lógica válida, pero tempCPrev está muerta y la histéresis depende de enfriadorPrev.</t>
        </is>
      </c>
      <c r="K8" s="42" t="inlineStr">
        <is>
          <t>Nombres descriptivos y comentarios; variable no usada confunde.</t>
        </is>
      </c>
      <c r="L8" s="42" t="inlineStr">
        <is>
          <t>Umbrales y factor de escala como literales; sin constantes.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I6-1644</t>
        </is>
      </c>
      <c r="B9" s="39" t="inlineStr">
        <is>
          <t>No compila (7 errores).</t>
        </is>
      </c>
      <c r="C9" s="40" t="n">
        <v>0</v>
      </c>
      <c r="D9" s="40" t="n">
        <v>0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39" t="inlineStr"/>
      <c r="J9" s="42" t="inlineStr">
        <is>
          <t>Lógica aparente con histéresis y alarma, pero tempC_prev muerta y 'enfriador:=enfriador' es no-op.</t>
        </is>
      </c>
      <c r="K9" s="42" t="inlineStr">
        <is>
          <t>Nombres descriptivos y comentarios en cada paso; estructura básica.</t>
        </is>
      </c>
      <c r="L9" s="42" t="inlineStr">
        <is>
          <t>Literales mágicos y conversión inválida; parámetros no centralizados.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I6-4554</t>
        </is>
      </c>
      <c r="B10" s="39" t="inlineStr">
        <is>
          <t>Compila. Pasa los 8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1</v>
      </c>
      <c r="H10" s="40">
        <f>IF(COUNT(C10:G10)=5,SUM(C10:G10),"")</f>
        <v/>
      </c>
      <c r="I10" s="42" t="inlineStr">
        <is>
          <t>Funcional fijado; iec: usa INT_TO_REAL y estructura idiomática.</t>
        </is>
      </c>
      <c r="J10" s="42" t="inlineStr">
        <is>
          <t>Sin contradicciones; alarma y histéresis con interlock completo.</t>
        </is>
      </c>
      <c r="K10" s="42" t="inlineStr">
        <is>
          <t>Secciones numeradas y notas explicativas claras.</t>
        </is>
      </c>
      <c r="L10" s="42" t="inlineStr">
        <is>
          <t>Umbrales y rango literales; poca parametrización.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I6-4640</t>
        </is>
      </c>
      <c r="B11" s="39" t="inlineStr">
        <is>
          <t>Compila. Pasa los 8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Funcional fijado; iec: INT_TO_REAL estándar y declaraciones correctas.</t>
        </is>
      </c>
      <c r="J11" s="42" t="inlineStr">
        <is>
          <t>Lógica sin contradicciones; alarma apaga enfriador y zona muerta conserva estado.</t>
        </is>
      </c>
      <c r="K11" s="42" t="inlineStr">
        <is>
          <t>Comentarios útiles y nombres descriptivos; estructura organizada.</t>
        </is>
      </c>
      <c r="L11" s="42" t="inlineStr">
        <is>
          <t>Valores mágicos para rango/umbrales; cambios no localizados.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I6-5227</t>
        </is>
      </c>
      <c r="B12" s="39" t="inlineStr">
        <is>
          <t>Compila. Pasa los 8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Funcional fijado; iec: compila, pero escalado con mezcla implícita INT/REAL.</t>
        </is>
      </c>
      <c r="J12" s="42" t="inlineStr">
        <is>
          <t>Sin contradicciones; aunque control se ejecuta antes que alarma, el apagado prevalece.</t>
        </is>
      </c>
      <c r="K12" s="42" t="inlineStr">
        <is>
          <t>Variables de parámetros claras y secciones comentadas.</t>
        </is>
      </c>
      <c r="L12" s="42" t="inlineStr">
        <is>
          <t>Parámetros centralizados en variables, aunque no constantes.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I6-1990</t>
        </is>
      </c>
      <c r="B13" s="39" t="inlineStr">
        <is>
          <t>Compila. Pasa los 8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Funcional fijado; iec: compila con escalado mixto INT/REAL, correcto en CODESYS.</t>
        </is>
      </c>
      <c r="J13" s="42" t="inlineStr">
        <is>
          <t>Sin contradicciones; rango inválido deja salidas seguras y escalado antes de histéresis.</t>
        </is>
      </c>
      <c r="K13" s="42" t="inlineStr">
        <is>
          <t>Nombres claros, comentarios y secciones separadas.</t>
        </is>
      </c>
      <c r="L13" s="42" t="inlineStr">
        <is>
          <t>Parámetros centralizados en variables, no constantes; cambios localizados.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I6-8944</t>
        </is>
      </c>
      <c r="B14" s="39" t="inlineStr">
        <is>
          <t>Compila. Pasa los 8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1</v>
      </c>
      <c r="H14" s="40">
        <f>IF(COUNT(C14:G14)=5,SUM(C14:G14),"")</f>
        <v/>
      </c>
      <c r="I14" s="42" t="inlineStr">
        <is>
          <t>Funcional fijado; iec: usa INT_TO_REAL estándar e IF idiomático.</t>
        </is>
      </c>
      <c r="J14" s="42" t="inlineStr">
        <is>
          <t>Sin contradicciones; alarma enclava el enfriador y la histéresis es correcta.</t>
        </is>
      </c>
      <c r="K14" s="42" t="inlineStr">
        <is>
          <t>Secciones numeradas y comentarios que explican la intención.</t>
        </is>
      </c>
      <c r="L14" s="42" t="inlineStr">
        <is>
          <t>Literales mágicos para umbrales y rango; cambios no localizados.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I6-2466</t>
        </is>
      </c>
      <c r="B15" s="39" t="inlineStr">
        <is>
          <t>Compila. Pasa los 8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3</v>
      </c>
      <c r="H15" s="40">
        <f>IF(COUNT(C15:G15)=5,SUM(C15:G15),"")</f>
        <v/>
      </c>
      <c r="I15" s="42" t="inlineStr">
        <is>
          <t>Funcional fijado; iec: VAR CONSTANT y INT_TO_REAL idiomáticos.</t>
        </is>
      </c>
      <c r="J15" s="42" t="inlineStr">
        <is>
          <t>Sin contradicciones ni estados muertos; camino de fallo y zona de histéresis completos.</t>
        </is>
      </c>
      <c r="K15" s="42" t="inlineStr">
        <is>
          <t>Secciones numeradas, comentarios con porqué y nombres descriptivos.</t>
        </is>
      </c>
      <c r="L15" s="42" t="inlineStr">
        <is>
          <t>Constantes declaradas para rango/umbrales; cambios localizados y diseño extensible.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I6-7405</t>
        </is>
      </c>
      <c r="B16" s="39" t="inlineStr">
        <is>
          <t>Compila. Pasa los 8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Funcional fijado; iec: INT_TO_REAL estándar y declaraciones correctas.</t>
        </is>
      </c>
      <c r="J16" s="42" t="inlineStr">
        <is>
          <t>Sin contradicciones; alarma apaga y la banda de histéresis mantiene estado.</t>
        </is>
      </c>
      <c r="K16" s="42" t="inlineStr">
        <is>
          <t>Nombres claros y comentarios breves; estructura simple.</t>
        </is>
      </c>
      <c r="L16" s="42" t="inlineStr">
        <is>
          <t>Valores de umbral y rango literales; poca parametrización.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I6-4763</t>
        </is>
      </c>
      <c r="B17" s="39" t="inlineStr">
        <is>
          <t>Compila. Pasa los 8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3</v>
      </c>
      <c r="H17" s="40">
        <f>IF(COUNT(C17:G17)=5,SUM(C17:G17),"")</f>
        <v/>
      </c>
      <c r="I17" s="42" t="inlineStr">
        <is>
          <t>Funcional fijado; iec: VAR CONSTANT, INT_TO_REAL y RETURN idiomáticos.</t>
        </is>
      </c>
      <c r="J17" s="42" t="inlineStr">
        <is>
          <t>Sin contradicciones; RETURN temprano en fallo evita lógica posterior.</t>
        </is>
      </c>
      <c r="K17" s="42" t="inlineStr">
        <is>
          <t>Secciones numeradas y comentarios con el porqué; muy clara.</t>
        </is>
      </c>
      <c r="L17" s="42" t="inlineStr">
        <is>
          <t>Constantes centralizadas y diseño extensible; sin duplicación.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I6-2631</t>
        </is>
      </c>
      <c r="B18" s="39" t="inlineStr">
        <is>
          <t>No compila (7 errores).</t>
        </is>
      </c>
      <c r="C18" s="40" t="n">
        <v>0</v>
      </c>
      <c r="D18" s="40" t="n">
        <v>0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Lógica aparente con histéresis y alarma, pero tempC_prev muerta y conversión inválida.</t>
        </is>
      </c>
      <c r="K18" s="42" t="inlineStr">
        <is>
          <t>Nombres descriptivos y comentarios; estructura básica legible.</t>
        </is>
      </c>
      <c r="L18" s="42" t="inlineStr">
        <is>
          <t>Literales mágicos y parámetros no centralizados.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I6-5219</t>
        </is>
      </c>
      <c r="B19" s="39" t="inlineStr">
        <is>
          <t>Compila. Pasa los 8 pasos del harness.</t>
        </is>
      </c>
      <c r="C19" s="40" t="n">
        <v>3</v>
      </c>
      <c r="D19" s="41" t="n">
        <v>2</v>
      </c>
      <c r="E19" s="41" t="n">
        <v>2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Funcional fijado; iec: usa conversión implícita INT*REAL; tipos correctos en CODESYS.</t>
        </is>
      </c>
      <c r="J19" s="42" t="inlineStr">
        <is>
          <t>Sin contradicciones, pero tempCPrev muerta y actualización de enfriadorPrev al final.</t>
        </is>
      </c>
      <c r="K19" s="42" t="inlineStr">
        <is>
          <t>Nombres descriptivos y comentarios; variable no usada resta claridad.</t>
        </is>
      </c>
      <c r="L19" s="42" t="inlineStr">
        <is>
          <t>Umbrales y factor de escala literales; sin parametrización.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I6-8502</t>
        </is>
      </c>
      <c r="B20" s="39" t="inlineStr">
        <is>
          <t>Compila. Pasa los 8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42" t="inlineStr">
        <is>
          <t>Funcional fijado; iec: INT_TO_REAL estándar y estructura idiomática.</t>
        </is>
      </c>
      <c r="J20" s="42" t="inlineStr">
        <is>
          <t>Sin contradicciones; alarma desactiva y zona muerta conserva estado.</t>
        </is>
      </c>
      <c r="K20" s="42" t="inlineStr">
        <is>
          <t>Secciones numeradas y notas explicativas claras.</t>
        </is>
      </c>
      <c r="L20" s="42" t="inlineStr">
        <is>
          <t>Literales mágicos para rango/umbrales; poca parametrización.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I6-1774</t>
        </is>
      </c>
      <c r="B21" s="39" t="inlineStr">
        <is>
          <t>No compila (12 errores).</t>
        </is>
      </c>
      <c r="C21" s="40" t="n">
        <v>0</v>
      </c>
      <c r="D21" s="40" t="n">
        <v>0</v>
      </c>
      <c r="E21" s="41" t="n">
        <v>1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Lógica aparente correcta pero redundante; tempC_prev muerta y 'enfriador:=enfriador'.</t>
        </is>
      </c>
      <c r="K21" s="42" t="inlineStr">
        <is>
          <t>Intento de secciones y comentarios, pero la constante mal declarada confunde.</t>
        </is>
      </c>
      <c r="L21" s="42" t="inlineStr">
        <is>
          <t>Intento de SCALE_FACTOR no válido; umbrales aún literales.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I6-7940</t>
        </is>
      </c>
      <c r="B22" s="39" t="inlineStr">
        <is>
          <t>Compila. Pasa los 8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Funcional fijado; iec: INT_TO_REAL estándar y estructura idiomática.</t>
        </is>
      </c>
      <c r="J22" s="42" t="inlineStr">
        <is>
          <t>Sin contradicciones; fallo apaga y zona de histéresis conserva estado.</t>
        </is>
      </c>
      <c r="K22" s="42" t="inlineStr">
        <is>
          <t>Nombres descriptivos y comentarios por bloque; estructura clara.</t>
        </is>
      </c>
      <c r="L22" s="42" t="inlineStr">
        <is>
          <t>Valores mágicos para rango/umbrales; poca parametrización.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I6-9872</t>
        </is>
      </c>
      <c r="B23" s="39" t="inlineStr">
        <is>
          <t>No compila (7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Lógica aparente; tempC_prev muerta y 'enfriador:=enfriador' no-op.</t>
        </is>
      </c>
      <c r="K23" s="42" t="inlineStr">
        <is>
          <t>Nombres y comentarios legibles; estructura típica.</t>
        </is>
      </c>
      <c r="L23" s="42" t="inlineStr">
        <is>
          <t>Literales mágicos y parámetros no centralizados.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I6-7606</t>
        </is>
      </c>
      <c r="B24" s="39" t="inlineStr">
        <is>
          <t>Compila. Pasa los 8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3</v>
      </c>
      <c r="H24" s="40">
        <f>IF(COUNT(C24:G24)=5,SUM(C24:G24),"")</f>
        <v/>
      </c>
      <c r="I24" s="42" t="inlineStr">
        <is>
          <t>Funcional fijado; iec: VAR CONSTANT e INT_TO_REAL idiomáticos.</t>
        </is>
      </c>
      <c r="J24" s="42" t="inlineStr">
        <is>
          <t>Sin contradicciones; camino de fallo y zona de histéresis completos.</t>
        </is>
      </c>
      <c r="K24" s="42" t="inlineStr">
        <is>
          <t>Secciones numeradas y comentarios del porqué; muy clara.</t>
        </is>
      </c>
      <c r="L24" s="42" t="inlineStr">
        <is>
          <t>Constantes centralizadas; diseño extensible y sin duplicación.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I6-9273</t>
        </is>
      </c>
      <c r="B25" s="39" t="inlineStr">
        <is>
          <t>Compila. Pasa los 8 pasos del harness.</t>
        </is>
      </c>
      <c r="C25" s="40" t="n">
        <v>3</v>
      </c>
      <c r="D25" s="41" t="n">
        <v>2</v>
      </c>
      <c r="E25" s="41" t="n">
        <v>2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Funcional fijado; iec: compila con conversión implícita INT/REAL; correcto en CODESYS.</t>
        </is>
      </c>
      <c r="J25" s="42" t="inlineStr">
        <is>
          <t>Sin contradicciones, pero tempCPrev sin uso y manejo de previos al final.</t>
        </is>
      </c>
      <c r="K25" s="42" t="inlineStr">
        <is>
          <t>Nombres descriptivos y comentarios; variable no usada.</t>
        </is>
      </c>
      <c r="L25" s="42" t="inlineStr">
        <is>
          <t>Umbrales y factor como literales; sin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I6-9365</t>
        </is>
      </c>
      <c r="B26" s="39" t="inlineStr">
        <is>
          <t>No compila (7 errores).</t>
        </is>
      </c>
      <c r="C26" s="40" t="n">
        <v>0</v>
      </c>
      <c r="D26" s="40" t="n">
        <v>0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Lógica aparente; tempC_prev muerta y 'enfriador:=enfriador' no-op.</t>
        </is>
      </c>
      <c r="K26" s="42" t="inlineStr">
        <is>
          <t>Comentarios y nombres claros; estructura básica.</t>
        </is>
      </c>
      <c r="L26" s="42" t="inlineStr">
        <is>
          <t>Literales mágicos; sin parametrización.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I6-4205</t>
        </is>
      </c>
      <c r="B27" s="39" t="inlineStr">
        <is>
          <t>No compila (7 errores).</t>
        </is>
      </c>
      <c r="C27" s="40" t="n">
        <v>0</v>
      </c>
      <c r="D27" s="40" t="n">
        <v>0</v>
      </c>
      <c r="E27" s="41" t="n">
        <v>1</v>
      </c>
      <c r="F27" s="41" t="n">
        <v>2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Lógica aparente; tempC_prev muerta y 'enfriador:=enfriador' no-op.</t>
        </is>
      </c>
      <c r="K27" s="42" t="inlineStr">
        <is>
          <t>Nombres y comentarios legibles; estructura básica.</t>
        </is>
      </c>
      <c r="L27" s="42" t="inlineStr">
        <is>
          <t>Literales mágicos; sin parametrización.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I6-1860</t>
        </is>
      </c>
      <c r="B28" s="39" t="inlineStr">
        <is>
          <t>Compila. Falla 1 de 8 pasos del harness (pasos 3; numerados desde 0).</t>
        </is>
      </c>
      <c r="C28" s="41" t="n">
        <v>1</v>
      </c>
      <c r="D28" s="41" t="n">
        <v>2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Funcional 1: falla paso 3 porque la alarma no apaga el enfriador; iec: 2, mezcla INT/REAL aceptable.</t>
        </is>
      </c>
      <c r="J28" s="42" t="inlineStr">
        <is>
          <t>Sin contradicciones, pero variable histeresis sin uso y falta interlock de seguridad.</t>
        </is>
      </c>
      <c r="K28" s="42" t="inlineStr">
        <is>
          <t>Nombres descriptivos y secciones con comentarios.</t>
        </is>
      </c>
      <c r="L28" s="42" t="inlineStr">
        <is>
          <t>Parámetros de rango/umbrales en variables; histeresis sin uso.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I6-9306</t>
        </is>
      </c>
      <c r="B29" s="39" t="inlineStr">
        <is>
          <t>Compila. Pasa los 8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3</v>
      </c>
      <c r="H29" s="40">
        <f>IF(COUNT(C29:G29)=5,SUM(C29:G29),"")</f>
        <v/>
      </c>
      <c r="I29" s="42" t="inlineStr">
        <is>
          <t>Funcional fijado; iec: VAR CONSTANT e INT_TO_REAL idiomáticos.</t>
        </is>
      </c>
      <c r="J29" s="42" t="inlineStr">
        <is>
          <t>Sin contradicciones; fallo de rango, alarma y zona de histéresis completos.</t>
        </is>
      </c>
      <c r="K29" s="42" t="inlineStr">
        <is>
          <t>Secciones numeradas y comentarios del porqué; muy clara.</t>
        </is>
      </c>
      <c r="L29" s="42" t="inlineStr">
        <is>
          <t>Constantes centralizadas; diseño extensible.</t>
        </is>
      </c>
      <c r="M29" s="42" t="n"/>
      <c r="N29" s="40">
        <f>IF(COUNT(C29:G29)=5,"Completa","Falta")</f>
        <v/>
      </c>
    </row>
    <row r="30"/>
  </sheetData>
  <dataValidations count="3">
    <dataValidation sqref="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8 D10:D17 D19:D20 D22 D24:D25 D2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I7 — Bombas dúplex con alternancia (Intermedio)</t>
        </is>
      </c>
    </row>
    <row r="2" ht="15" customHeight="1" s="22">
      <c r="A2" s="33" t="inlineStr">
        <is>
          <t>Lee cada respuesta por su código en respuestas/Respuestas_I7.html.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I7-1859</t>
        </is>
      </c>
      <c r="B6" s="39" t="inlineStr">
        <is>
          <t>Compila. Falla 8 de 14 pasos del harness (pasos 1,3,5,6,7,8,11,12; numerados desde 0).</t>
        </is>
      </c>
      <c r="C6" s="41" t="n">
        <v>0</v>
      </c>
      <c r="D6" s="41" t="n">
        <v>2</v>
      </c>
      <c r="E6" s="41" t="n">
        <v>1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Falla la primera demanda y la alternancia; ST compila con declaraciones y tipos BOOL correctos.</t>
        </is>
      </c>
      <c r="J6" s="42" t="inlineStr">
        <is>
          <t>La alternancia se ejecuta antes de usar el turno, subvirtiendo la inicialización.</t>
        </is>
      </c>
      <c r="K6" s="42" t="inlineStr">
        <is>
          <t>Comentarios y nombres descriptivos, con secciones ordenadas.</t>
        </is>
      </c>
      <c r="L6" s="42" t="inlineStr">
        <is>
          <t>Lógica clara y cambios localizados, aunque duplica ramas de falla.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I7-5823</t>
        </is>
      </c>
      <c r="B7" s="39" t="inlineStr">
        <is>
          <t>Compila. Pasa los 14 pasos del harness.</t>
        </is>
      </c>
      <c r="C7" s="40" t="n">
        <v>3</v>
      </c>
      <c r="D7" s="41" t="n">
        <v>2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Pasa los 14 pasos; detección de flanco manual con BOOL y declaraciones correctas.</t>
        </is>
      </c>
      <c r="J7" s="42" t="inlineStr">
        <is>
          <t>Sin contradicciones; el FALSE implícito de principal permite que el primer flanco elija bomba1.</t>
        </is>
      </c>
      <c r="K7" s="42" t="inlineStr">
        <is>
          <t>Comentarios claros y flujo por secciones.</t>
        </is>
      </c>
      <c r="L7" s="42" t="inlineStr">
        <is>
          <t>Cambios localizados, aunque la lógica de falla está duplicada para cada bomba.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I7-2190</t>
        </is>
      </c>
      <c r="B8" s="39" t="inlineStr">
        <is>
          <t>Compila. Pasa los 14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Pasa los 14 pasos; ST básico correcto, sin R_TRIG.</t>
        </is>
      </c>
      <c r="J8" s="42" t="inlineStr">
        <is>
          <t>Transiciones completas; inicialización por defecto correcta.</t>
        </is>
      </c>
      <c r="K8" s="42" t="inlineStr">
        <is>
          <t>Comentarios y nombres descriptivos; sección de control clara.</t>
        </is>
      </c>
      <c r="L8" s="42" t="inlineStr">
        <is>
          <t>Ramas duplicadas pero variables y parámetros claros.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I7-6860</t>
        </is>
      </c>
      <c r="B9" s="39" t="inlineStr">
        <is>
          <t>Compila. Pasa los 14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3</v>
      </c>
      <c r="H9" s="40">
        <f>IF(COUNT(C9:G9)=5,SUM(C9:G9),"")</f>
        <v/>
      </c>
      <c r="I9" s="42" t="inlineStr">
        <is>
          <t>Pasa los 14 pasos; usa R_TRIG correctamente instanciado.</t>
        </is>
      </c>
      <c r="J9" s="42" t="inlineStr">
        <is>
          <t>Ecuaciones booleanas cubren todas las combinaciones de demanda y falla sin estados muertos.</t>
        </is>
      </c>
      <c r="K9" s="42" t="inlineStr">
        <is>
          <t>Comentarios breves que explican el porqué y estructura concisa.</t>
        </is>
      </c>
      <c r="L9" s="42" t="inlineStr">
        <is>
          <t>Sin duplicación de lógica; las fórmulas de respaldo son fáciles de extender.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I7-5664</t>
        </is>
      </c>
      <c r="B10" s="39" t="inlineStr">
        <is>
          <t>Compila. Falla 5 de 14 pasos del harness (pasos 1,5,6,7,8; numerados desde 0).</t>
        </is>
      </c>
      <c r="C10" s="41" t="n">
        <v>0</v>
      </c>
      <c r="D10" s="41" t="n">
        <v>2</v>
      </c>
      <c r="E10" s="41" t="n">
        <v>1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Falla primera demanda y alarmas; ST compila con tipos correctos.</t>
        </is>
      </c>
      <c r="J10" s="42" t="inlineStr">
        <is>
          <t>La inicialización condicional y el flanco se contradicen, dejando el turno invertido en el arranque.</t>
        </is>
      </c>
      <c r="K10" s="42" t="inlineStr">
        <is>
          <t>Comentarios básicos y nombres aceptables.</t>
        </is>
      </c>
      <c r="L10" s="42" t="inlineStr">
        <is>
          <t>Ramas de falla repetidas; cambios localizados.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I7-4023</t>
        </is>
      </c>
      <c r="B11" s="39" t="inlineStr">
        <is>
          <t>Compila. Pasa los 14 pasos del harness.</t>
        </is>
      </c>
      <c r="C11" s="40" t="n">
        <v>3</v>
      </c>
      <c r="D11" s="41" t="n">
        <v>2</v>
      </c>
      <c r="E11" s="41" t="n">
        <v>1</v>
      </c>
      <c r="F11" s="41" t="n">
        <v>1</v>
      </c>
      <c r="G11" s="41" t="n">
        <v>2</v>
      </c>
      <c r="H11" s="40">
        <f>IF(COUNT(C11:G11)=5,SUM(C11:G11),"")</f>
        <v/>
      </c>
      <c r="I11" s="42" t="inlineStr">
        <is>
          <t>Pasa los 14 pasos; ST estándar con punta de flanco manual y tipos correctos.</t>
        </is>
      </c>
      <c r="J11" s="42" t="inlineStr">
        <is>
          <t>primerCiclo nace en FALSE y nunca se activa, por lo que el bloque de inicialización es código muerto.</t>
        </is>
      </c>
      <c r="K11" s="42" t="inlineStr">
        <is>
          <t>Comentarios extensos, pero describen una inicialización que no se ejecuta.</t>
        </is>
      </c>
      <c r="L11" s="42" t="inlineStr">
        <is>
          <t>Lógica sin gran duplicación, aunque el flag muerto debería eliminarse.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I7-8200</t>
        </is>
      </c>
      <c r="B12" s="39" t="inlineStr">
        <is>
          <t>Compila. Pasa los 14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3</v>
      </c>
      <c r="H12" s="40">
        <f>IF(COUNT(C12:G12)=5,SUM(C12:G12),"")</f>
        <v/>
      </c>
      <c r="I12" s="42" t="inlineStr">
        <is>
          <t>Pasa los 14 pasos; usa R_TRIG correctamente instanciado.</t>
        </is>
      </c>
      <c r="J12" s="42" t="inlineStr">
        <is>
          <t>Ecuaciones cubren todos los casos y el turno inicial queda correctamente asignado.</t>
        </is>
      </c>
      <c r="K12" s="42" t="inlineStr">
        <is>
          <t>Nombres descriptivos y comentarios concisos.</t>
        </is>
      </c>
      <c r="L12" s="42" t="inlineStr">
        <is>
          <t>Fórmulas booleanas sin duplicación, fáciles de ajustar.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I7-7155</t>
        </is>
      </c>
      <c r="B13" s="39" t="inlineStr">
        <is>
          <t>Compila. Falla 4 de 14 pasos del harness (pasos 3,10,11,12; numerados desde 0).</t>
        </is>
      </c>
      <c r="C13" s="41" t="n">
        <v>0</v>
      </c>
      <c r="D13" s="41" t="n">
        <v>2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alternancia y apagado de alarma; ST compila.</t>
        </is>
      </c>
      <c r="J13" s="42" t="inlineStr">
        <is>
          <t>IF demanda fuerza estado := 1 en cada demanda, contradiciendo el cambio de estado y dejando almFalla sin apagar.</t>
        </is>
      </c>
      <c r="K13" s="42" t="inlineStr">
        <is>
          <t>Comentarios de estado y nombres claros, aunque el flujo es confuso.</t>
        </is>
      </c>
      <c r="L13" s="42" t="inlineStr">
        <is>
          <t>Transiciones entremezcladas; modificar requiere reescribir el control de estado.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I7-3525</t>
        </is>
      </c>
      <c r="B14" s="39" t="inlineStr">
        <is>
          <t>Compila. Falla 5 de 14 pasos del harness (pasos 3,6,8,9,11; numerados desde 0).</t>
        </is>
      </c>
      <c r="C14" s="41" t="n">
        <v>0</v>
      </c>
      <c r="D14" s="41" t="n">
        <v>2</v>
      </c>
      <c r="E14" s="41" t="n">
        <v>1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Falla alternancia y casos con falla; ST compila.</t>
        </is>
      </c>
      <c r="J14" s="42" t="inlineStr">
        <is>
          <t>Alterna después del CASE y puede retener salidas por falta de asignación en algunos caminos.</t>
        </is>
      </c>
      <c r="K14" s="42" t="inlineStr">
        <is>
          <t>Comentarios básicos y estructura CASE legible.</t>
        </is>
      </c>
      <c r="L14" s="42" t="inlineStr">
        <is>
          <t>Estados con números mágicos y lógica repetida; mantenimiento esforzado.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I7-7598</t>
        </is>
      </c>
      <c r="B15" s="39" t="inlineStr">
        <is>
          <t>Compila. Falla 6 de 14 pasos del harness (pasos 1,5,6,7,8,9; numerados desde 0).</t>
        </is>
      </c>
      <c r="C15" s="41" t="n">
        <v>0</v>
      </c>
      <c r="D15" s="41" t="n">
        <v>2</v>
      </c>
      <c r="E15" s="41" t="n">
        <v>1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Falla primera demanda y alarmas; ST compila.</t>
        </is>
      </c>
      <c r="J15" s="42" t="inlineStr">
        <is>
          <t>Dos bloques de flanco asignan y alternan el estado, generando una secuencia inconsistente.</t>
        </is>
      </c>
      <c r="K15" s="42" t="inlineStr">
        <is>
          <t>Comentarios básicos; algunos no explican la secuencia real.</t>
        </is>
      </c>
      <c r="L15" s="42" t="inlineStr">
        <is>
          <t>Números de estado sin constantes y duplicación en ramas.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I7-1736</t>
        </is>
      </c>
      <c r="B16" s="39" t="inlineStr">
        <is>
          <t>Compila. Pasa los 14 pasos del harness.</t>
        </is>
      </c>
      <c r="C16" s="40" t="n">
        <v>3</v>
      </c>
      <c r="D16" s="41" t="n">
        <v>2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Pasa los 14 pasos; punta de flanco manual con tipos BOOL correctos.</t>
        </is>
      </c>
      <c r="J16" s="42" t="inlineStr">
        <is>
          <t>Inicialización y alternancia explícitas mediante primerArranque; transiciones completas.</t>
        </is>
      </c>
      <c r="K16" s="42" t="inlineStr">
        <is>
          <t>Comentarios que explican el propósito de cada sección.</t>
        </is>
      </c>
      <c r="L16" s="42" t="inlineStr">
        <is>
          <t>Lógica de falla duplicada, aunque bandera y parámetros están claros.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I7-8285</t>
        </is>
      </c>
      <c r="B17" s="39" t="inlineStr">
        <is>
          <t>Compila. Falla 6 de 14 pasos del harness (pasos 3,6,7,8,9,11; numerados desde 0).</t>
        </is>
      </c>
      <c r="C17" s="41" t="n">
        <v>0</v>
      </c>
      <c r="D17" s="41" t="n">
        <v>2</v>
      </c>
      <c r="E17" s="41" t="n">
        <v>1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Falla alternancia y casos de falla; ST compila.</t>
        </is>
      </c>
      <c r="J17" s="42" t="inlineStr">
        <is>
          <t>Máquina de estados que no asigna salidas en todos los caminos y alterna después del CASE.</t>
        </is>
      </c>
      <c r="K17" s="42" t="inlineStr">
        <is>
          <t>Comentarios básicos y estructura de estados visible.</t>
        </is>
      </c>
      <c r="L17" s="42" t="inlineStr">
        <is>
          <t>Estados mágicos y lógica acoplada; mantenimiento esforzado.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I7-8111</t>
        </is>
      </c>
      <c r="B18" s="39" t="inlineStr">
        <is>
          <t>Compila. Pasa los 14 pasos del harness.</t>
        </is>
      </c>
      <c r="C18" s="40" t="n">
        <v>3</v>
      </c>
      <c r="D18" s="41" t="n">
        <v>3</v>
      </c>
      <c r="E18" s="41" t="n">
        <v>3</v>
      </c>
      <c r="F18" s="41" t="n">
        <v>3</v>
      </c>
      <c r="G18" s="41" t="n">
        <v>3</v>
      </c>
      <c r="H18" s="40">
        <f>IF(COUNT(C18:G18)=5,SUM(C18:G18),"")</f>
        <v/>
      </c>
      <c r="I18" s="42" t="inlineStr">
        <is>
          <t>Pasa los 14 pasos; usa R_TRIG y bandera de primer arranque.</t>
        </is>
      </c>
      <c r="J18" s="42" t="inlineStr">
        <is>
          <t>Sin estados muertos; primerArranque y turno cubren toda la secuencia.</t>
        </is>
      </c>
      <c r="K18" s="42" t="inlineStr">
        <is>
          <t>Comentarios claros y organización por detección y control.</t>
        </is>
      </c>
      <c r="L18" s="42" t="inlineStr">
        <is>
          <t>Fórmulas sin duplicación y diseño extensible.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I7-5182</t>
        </is>
      </c>
      <c r="B19" s="39" t="inlineStr">
        <is>
          <t>Compila. Falla 8 de 14 pasos del harness (pasos 1,3,5,6,7,8,11,12; numerados desde 0).</t>
        </is>
      </c>
      <c r="C19" s="41" t="n">
        <v>0</v>
      </c>
      <c r="D19" s="41" t="n">
        <v>2</v>
      </c>
      <c r="E19" s="41" t="n">
        <v>1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Falla primera demanda y alternancia; ST compila.</t>
        </is>
      </c>
      <c r="J19" s="42" t="inlineStr">
        <is>
          <t>El flanco se aplica antes de usar principal1, contradiciendo la inicialización.</t>
        </is>
      </c>
      <c r="K19" s="42" t="inlineStr">
        <is>
          <t>Comentarios y secciones claras.</t>
        </is>
      </c>
      <c r="L19" s="42" t="inlineStr">
        <is>
          <t>Ramas duplicadas; cambios localizados.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I7-2045</t>
        </is>
      </c>
      <c r="B20" s="39" t="inlineStr">
        <is>
          <t>Compila. Falla 1 de 14 pasos del harness (pasos 9; numerados desde 0).</t>
        </is>
      </c>
      <c r="C20" s="41" t="n">
        <v>2</v>
      </c>
      <c r="D20" s="41" t="n">
        <v>2</v>
      </c>
      <c r="E20" s="41" t="n">
        <v>2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13/14 pasos; solo falla almFalla con ambas fallas en el paso 9; ST compila.</t>
        </is>
      </c>
      <c r="J20" s="42" t="inlineStr">
        <is>
          <t>Máquina de estados con transición MOD y estados completos; sin contradicciones mayores.</t>
        </is>
      </c>
      <c r="K20" s="42" t="inlineStr">
        <is>
          <t>Comentarios concisos y nombres claros.</t>
        </is>
      </c>
      <c r="L20" s="42" t="inlineStr">
        <is>
          <t>Cambios localizados en CASE; usa estado numérico.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I7-3489</t>
        </is>
      </c>
      <c r="B21" s="39" t="inlineStr">
        <is>
          <t>Compila. Pasa los 14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3</v>
      </c>
      <c r="H21" s="40">
        <f>IF(COUNT(C21:G21)=5,SUM(C21:G21),"")</f>
        <v/>
      </c>
      <c r="I21" s="42" t="inlineStr">
        <is>
          <t>Pasa los 14 pasos; usa R_TRIG y ecuaciones booleanas estándar.</t>
        </is>
      </c>
      <c r="J21" s="42" t="inlineStr">
        <is>
          <t>Todas las combinaciones de demanda y falla están cubiertas sin estados inalcanzables.</t>
        </is>
      </c>
      <c r="K21" s="42" t="inlineStr">
        <is>
          <t>Comentarios por ecuación y secciones claras.</t>
        </is>
      </c>
      <c r="L21" s="42" t="inlineStr">
        <is>
          <t>Lógica compacta sin duplicación; muy extensible.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I7-3883</t>
        </is>
      </c>
      <c r="B22" s="39" t="inlineStr">
        <is>
          <t>Compila. Falla 8 de 14 pasos del harness (pasos 1,3,5,6,7,8,11,12; numerados desde 0).</t>
        </is>
      </c>
      <c r="C22" s="41" t="n">
        <v>0</v>
      </c>
      <c r="D22" s="41" t="n">
        <v>2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Falla primera demanda y alternancia; ST compila.</t>
        </is>
      </c>
      <c r="J22" s="42" t="inlineStr">
        <is>
          <t>La alternancia ocurre antes de evaluar el primer ciclo, contradiciendo el requisito.</t>
        </is>
      </c>
      <c r="K22" s="42" t="inlineStr">
        <is>
          <t>Comentarios y nombres correctos.</t>
        </is>
      </c>
      <c r="L22" s="42" t="inlineStr">
        <is>
          <t>Ramas duplicadas; variables claras.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I7-1098</t>
        </is>
      </c>
      <c r="B23" s="39" t="inlineStr">
        <is>
          <t>Compila. Falla 8 de 14 pasos del harness (pasos 1,3,5,6,7,8,11,12; numerados desde 0).</t>
        </is>
      </c>
      <c r="C23" s="41" t="n">
        <v>0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Falla primera demanda y alternancia; ST compila.</t>
        </is>
      </c>
      <c r="J23" s="42" t="inlineStr">
        <is>
          <t>principal_es1 se invierte en el primer flanco antes de operar, por lo que no se logra la secuencia inicial.</t>
        </is>
      </c>
      <c r="K23" s="42" t="inlineStr">
        <is>
          <t>Secciones separadas y comentarios claros.</t>
        </is>
      </c>
      <c r="L23" s="42" t="inlineStr">
        <is>
          <t>Lógica por ramas y variables explícitas.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I7-6285</t>
        </is>
      </c>
      <c r="B24" s="39" t="inlineStr">
        <is>
          <t>Compila. Pasa los 14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3</v>
      </c>
      <c r="H24" s="40">
        <f>IF(COUNT(C24:G24)=5,SUM(C24:G24),"")</f>
        <v/>
      </c>
      <c r="I24" s="42" t="inlineStr">
        <is>
          <t>Pasa los 14 pasos; usa R_TRIG y ecuaciones BOOL.</t>
        </is>
      </c>
      <c r="J24" s="42" t="inlineStr">
        <is>
          <t>Alternancia y fallas cubiertas por expresiones booleanas completas.</t>
        </is>
      </c>
      <c r="K24" s="42" t="inlineStr">
        <is>
          <t>Comentarios de intención y expresiones legibles.</t>
        </is>
      </c>
      <c r="L24" s="42" t="inlineStr">
        <is>
          <t>Sin duplicación; ajuste local y extensible.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I7-2100</t>
        </is>
      </c>
      <c r="B25" s="39" t="inlineStr">
        <is>
          <t>Compila. Falla 5 de 14 pasos del harness (pasos 1,5,6,7,8; numerados desde 0).</t>
        </is>
      </c>
      <c r="C25" s="41" t="n">
        <v>0</v>
      </c>
      <c r="D25" s="41" t="n">
        <v>2</v>
      </c>
      <c r="E25" s="41" t="n">
        <v>1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Falla primera demanda y alarmas; ST básico compila.</t>
        </is>
      </c>
      <c r="J25" s="42" t="inlineStr">
        <is>
          <t>El bloque de inicialización y el flanco se contradicen en la primera demanda.</t>
        </is>
      </c>
      <c r="K25" s="42" t="inlineStr">
        <is>
          <t>Comentarios básicos y nombres descriptivos.</t>
        </is>
      </c>
      <c r="L25" s="42" t="inlineStr">
        <is>
          <t>Lógica duplicada; cambios por rama.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I7-1170</t>
        </is>
      </c>
      <c r="B26" s="39" t="inlineStr">
        <is>
          <t>Compila. Falla 10 de 14 pasos del harness (pasos 2,4,5,6,7,8,9,11,12,13; numerados desde 0).</t>
        </is>
      </c>
      <c r="C26" s="41" t="n">
        <v>0</v>
      </c>
      <c r="D26" s="41" t="n">
        <v>2</v>
      </c>
      <c r="E26" s="41" t="n">
        <v>1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Falla apagado y alternancia; ST compila.</t>
        </is>
      </c>
      <c r="J26" s="42" t="inlineStr">
        <is>
          <t>CASE no está condicionado por demanda y la secuencia MOD cae en estado 0.</t>
        </is>
      </c>
      <c r="K26" s="42" t="inlineStr">
        <is>
          <t>Comentarios cortos y estructura clara.</t>
        </is>
      </c>
      <c r="L26" s="42" t="inlineStr">
        <is>
          <t>Ecuaciones compactas, pero falta gateado de demanda.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I7-8887</t>
        </is>
      </c>
      <c r="B27" s="39" t="inlineStr">
        <is>
          <t>Compila. Falla 8 de 14 pasos del harness (pasos 1,3,5,6,7,8,11,12; numerados desde 0).</t>
        </is>
      </c>
      <c r="C27" s="41" t="n">
        <v>0</v>
      </c>
      <c r="D27" s="41" t="n">
        <v>2</v>
      </c>
      <c r="E27" s="41" t="n">
        <v>1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Falla primera demanda y alternancia; ST compila.</t>
        </is>
      </c>
      <c r="J27" s="42" t="inlineStr">
        <is>
          <t>El flanco y principal1 inicial se contradicen; el primer ciclo no respeta el turno.</t>
        </is>
      </c>
      <c r="K27" s="42" t="inlineStr">
        <is>
          <t>Comentarios y secciones ordenadas.</t>
        </is>
      </c>
      <c r="L27" s="42" t="inlineStr">
        <is>
          <t>Ramas duplicadas; variables bien definidas.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I7-7783</t>
        </is>
      </c>
      <c r="B28" s="39" t="inlineStr">
        <is>
          <t>Compila. Falla 8 de 14 pasos del harness (pasos 1,3,5,6,7,8,11,12; numerados desde 0).</t>
        </is>
      </c>
      <c r="C28" s="41" t="n">
        <v>0</v>
      </c>
      <c r="D28" s="41" t="n">
        <v>2</v>
      </c>
      <c r="E28" s="41" t="n">
        <v>1</v>
      </c>
      <c r="F28" s="41" t="n">
        <v>1</v>
      </c>
      <c r="G28" s="41" t="n">
        <v>2</v>
      </c>
      <c r="H28" s="40">
        <f>IF(COUNT(C28:G28)=5,SUM(C28:G28),"")</f>
        <v/>
      </c>
      <c r="I28" s="42" t="inlineStr">
        <is>
          <t>Falla primera demanda y alternancia; ST compila.</t>
        </is>
      </c>
      <c r="J28" s="42" t="inlineStr">
        <is>
          <t>Contiene un IF vacío y un comentario que anuncia una solución no implementada.</t>
        </is>
      </c>
      <c r="K28" s="42" t="inlineStr">
        <is>
          <t>Comentarios abundantes pero engañosos y bloques sin lógica real.</t>
        </is>
      </c>
      <c r="L28" s="42" t="inlineStr">
        <is>
          <t>Lógica de falla repetida y alternancia mezclada con control.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I7-7378</t>
        </is>
      </c>
      <c r="B29" s="39" t="inlineStr">
        <is>
          <t>Compila. Falla 5 de 14 pasos del harness (pasos 1,5,6,7,8; numerados desde 0).</t>
        </is>
      </c>
      <c r="C29" s="41" t="n">
        <v>0</v>
      </c>
      <c r="D29" s="41" t="n">
        <v>2</v>
      </c>
      <c r="E29" s="41" t="n">
        <v>1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Falla primera demanda y alarmas; ST básico compila.</t>
        </is>
      </c>
      <c r="J29" s="42" t="inlineStr">
        <is>
          <t>Inicialización y flanco se contradicen para la primera demanda.</t>
        </is>
      </c>
      <c r="K29" s="42" t="inlineStr">
        <is>
          <t>Comentarios básicos y estructura directa.</t>
        </is>
      </c>
      <c r="L29" s="42" t="inlineStr">
        <is>
          <t>Lógica duplicada; variables claras.</t>
        </is>
      </c>
      <c r="M29" s="42" t="n"/>
      <c r="N29" s="40">
        <f>IF(COUNT(C29:G29)=5,"Completa","Falta")</f>
        <v/>
      </c>
    </row>
    <row r="30"/>
  </sheetData>
  <dataValidations count="3">
    <dataValidation sqref="C6 C10 C13:C15 C17 C19:C20 C22:C23 C25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I8 — Permisivos de arranque de compresor (Intermedio)</t>
        </is>
      </c>
    </row>
    <row r="2" ht="15" customHeight="1" s="22">
      <c r="A2" s="33" t="inlineStr">
        <is>
          <t>Lee cada respuesta por su código en respuestas/Respuestas_I8.html.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I8-2589</t>
        </is>
      </c>
      <c r="B6" s="39" t="inlineStr">
        <is>
          <t>Compila. Pasa los 19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fijado; IEC: compila, FB con TON y declaraciones estándar.</t>
        </is>
      </c>
      <c r="J6" s="42" t="inlineStr">
        <is>
          <t>Sin contradicciones; paro/pérdida de permisivo prioritarios y flanco correcto.</t>
        </is>
      </c>
      <c r="K6" s="42" t="inlineStr">
        <is>
          <t>Secciones numeradas, nombres descriptivos y comentarios que explican el porqué.</t>
        </is>
      </c>
      <c r="L6" s="42" t="inlineStr">
        <is>
          <t>Lógica localizada y sin duplicación, aunque T#3S y códigos quedan como literales.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I8-1720</t>
        </is>
      </c>
      <c r="B7" s="39" t="inlineStr">
        <is>
          <t>Compila. Pasa los 19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Funcional fijado; IEC: compila y usa TON/R_TRIG correctamente.</t>
        </is>
      </c>
      <c r="J7" s="42" t="inlineStr">
        <is>
          <t>La causa de bloqueo consolida los permisivos y el control de flanco/paro es completo.</t>
        </is>
      </c>
      <c r="K7" s="42" t="inlineStr">
        <is>
          <t>Comentarios // y bloques claros, aunque menos explicativos que otras versiones.</t>
        </is>
      </c>
      <c r="L7" s="42" t="inlineStr">
        <is>
          <t>Separación lógica en pasos simples; constantes de causa directas.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I8-2766</t>
        </is>
      </c>
      <c r="B8" s="39" t="inlineStr">
        <is>
          <t>Compila sola, pero no se pudo simular: declara las entradas donde el harness no puede escribirlas ('pOilOk' no es ninguna entrada de 'FB_COMPRESOR').</t>
        </is>
      </c>
      <c r="C8" s="41" t="n">
        <v>0</v>
      </c>
      <c r="D8" s="41" t="n">
        <v>1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Funcional: sin flanco real y rearranca por latch; IEC: interfaz no conforme, compila pero requiere correcciones.</t>
        </is>
      </c>
      <c r="J8" s="42" t="inlineStr">
        <is>
          <t>marchaLatch no se resetea al perder permisivo, permitiendo rearranque automático.</t>
        </is>
      </c>
      <c r="K8" s="42" t="inlineStr">
        <is>
          <t>Nombres legibles y comentarios, aunque la separación E/S incorrecta confunde.</t>
        </is>
      </c>
      <c r="L8" s="42" t="inlineStr">
        <is>
          <t>Modificar el control requiere reescribir el enclavamiento; literales sin parametrizar.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I8-6340</t>
        </is>
      </c>
      <c r="B9" s="39" t="inlineStr">
        <is>
          <t>Compila. Falla 3 de 19 pasos del harness (pasos 1,13,18; numerados desde 0).</t>
        </is>
      </c>
      <c r="C9" s="41" t="n">
        <v>1</v>
      </c>
      <c r="D9" s="41" t="n">
        <v>2</v>
      </c>
      <c r="E9" s="41" t="n">
        <v>2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Funcional: arranque/paro correctos pero causaBloqueo usa pOilOk en vez del TON; IEC compila con declaraciones correctas.</t>
        </is>
      </c>
      <c r="J9" s="42" t="inlineStr">
        <is>
          <t>Control coherente; solo la causa de bloqueo es inconsistente con la temporización.</t>
        </is>
      </c>
      <c r="K9" s="42" t="inlineStr">
        <is>
          <t>Comentarios y nombres claros; lógica ordenada en bloques.</t>
        </is>
      </c>
      <c r="L9" s="42" t="inlineStr">
        <is>
          <t>Cambios localizados; umbral de tiempo y códigos son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I8-8577</t>
        </is>
      </c>
      <c r="B10" s="39" t="inlineStr">
        <is>
          <t>Compila. Falla 7 de 19 pasos del harness (pasos 1,3,4,10,13,16,18;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Funcional: no arranca por asignar previos antes de detectar flancos; IEC compila con tipos correctos.</t>
        </is>
      </c>
      <c r="J10" s="42" t="inlineStr">
        <is>
          <t>Detección de flancos muerta por actualizar previo antes del flanco; estados sin salida.</t>
        </is>
      </c>
      <c r="K10" s="42" t="inlineStr">
        <is>
          <t>Comentarios presentes pero no ayudan; estructura confusa y variables de estado engañosas.</t>
        </is>
      </c>
      <c r="L10" s="42" t="inlineStr">
        <is>
          <t>Lógica difícil de reutilizar; requiere reescritura del control.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I8-7161</t>
        </is>
      </c>
      <c r="B11" s="39" t="inlineStr">
        <is>
          <t>Compila. Pasa los 19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Funcional fijado; IEC: TON y flanco manual estándar, compila sin cambios.</t>
        </is>
      </c>
      <c r="J11" s="42" t="inlineStr">
        <is>
          <t>Interlocks completos y paro prioritario; sin rearranque automático.</t>
        </is>
      </c>
      <c r="K11" s="42" t="inlineStr">
        <is>
          <t>Comentarios por secciones, nombres descriptivos y propósito explicado.</t>
        </is>
      </c>
      <c r="L11" s="42" t="inlineStr">
        <is>
          <t>Código localizado y ordenado; literales de tiempo y códigos son el único punto débil.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I8-2865</t>
        </is>
      </c>
      <c r="B12" s="39" t="inlineStr">
        <is>
          <t>Compila. Pasa los 19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Funcional fijado; IEC: TON estándar y declaraciones correctas.</t>
        </is>
      </c>
      <c r="J12" s="42" t="inlineStr">
        <is>
          <t>Transiciones completas, prioridad de paro y bloqueo consolidados.</t>
        </is>
      </c>
      <c r="K12" s="42" t="inlineStr">
        <is>
          <t>Secciones y comentarios claros, aunque algo compactos.</t>
        </is>
      </c>
      <c r="L12" s="42" t="inlineStr">
        <is>
          <t>Cambios locales y sin duplicación; constantes directas.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I8-4028</t>
        </is>
      </c>
      <c r="B13" s="39" t="inlineStr">
        <is>
          <t>Compila. Falla 3 de 19 pasos del harness (pasos 1,13,18; numerados desde 0).</t>
        </is>
      </c>
      <c r="C13" s="41" t="n">
        <v>1</v>
      </c>
      <c r="D13" s="41" t="n">
        <v>3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Funcional: falla causaBloqueo porque usa pOilOk en vez de tonOil.Q; IEC: TON/R_TRIG idiomáticos.</t>
        </is>
      </c>
      <c r="J13" s="42" t="inlineStr">
        <is>
          <t>Control coherente; la discrepancia entre causa y permisivo temporizado es menor.</t>
        </is>
      </c>
      <c r="K13" s="42" t="inlineStr">
        <is>
          <t>Comentarios y nombres claros; organización lineal.</t>
        </is>
      </c>
      <c r="L13" s="42" t="inlineStr">
        <is>
          <t>Lógica simple y localizada; T#3S y códigos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I8-4361</t>
        </is>
      </c>
      <c r="B14" s="39" t="inlineStr">
        <is>
          <t>Compila. Pasa los 19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Funcional fijado; IEC: TON y flanco manual conforme.</t>
        </is>
      </c>
      <c r="J14" s="42" t="inlineStr">
        <is>
          <t>Condiciones de paro y arranque correctas; sin rearranque automático.</t>
        </is>
      </c>
      <c r="K14" s="42" t="inlineStr">
        <is>
          <t>Comentarios de sección y nombres claros; legible.</t>
        </is>
      </c>
      <c r="L14" s="42" t="inlineStr">
        <is>
          <t>Cambios localizados y sin duplicación; literales de código directos.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I8-3472</t>
        </is>
      </c>
      <c r="B15" s="39" t="inlineStr">
        <is>
          <t>Compila. Pasa los 19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Funcional fijado; IEC: TON estándar, compila sin correcciones.</t>
        </is>
      </c>
      <c r="J15" s="42" t="inlineStr">
        <is>
          <t>Máquina de estados correcta, con paro prioritario y permisivos completos.</t>
        </is>
      </c>
      <c r="K15" s="42" t="inlineStr">
        <is>
          <t>Excelente estructura seccionada y comentarios de porqué.</t>
        </is>
      </c>
      <c r="L15" s="42" t="inlineStr">
        <is>
          <t>Bloques separados y sin duplicación; constantes no parametrizadas.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I8-9074</t>
        </is>
      </c>
      <c r="B16" s="39" t="inlineStr">
        <is>
          <t>Compila. Pasa los 19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Funcional fijado; IEC: TON y R_TRIG correctos.</t>
        </is>
      </c>
      <c r="J16" s="42" t="inlineStr">
        <is>
          <t>Permisivos y causa unificados; control de flanco y paro completo.</t>
        </is>
      </c>
      <c r="K16" s="42" t="inlineStr">
        <is>
          <t>Comentarios claros y nombres descriptivos, aunque sucintos.</t>
        </is>
      </c>
      <c r="L16" s="42" t="inlineStr">
        <is>
          <t>Lógica ordenada; códigos y tiempo como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I8-1307</t>
        </is>
      </c>
      <c r="B17" s="39" t="inlineStr">
        <is>
          <t>Compila. Falla 9 de 19 pasos del harness (pasos 5,6,11,12,13,14,15,17,18; numerados desde 0).</t>
        </is>
      </c>
      <c r="C17" s="41" t="n">
        <v>0</v>
      </c>
      <c r="D17" s="41" t="n">
        <v>2</v>
      </c>
      <c r="E17" s="41" t="n">
        <v>1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Funcional: no detiene al perder permisivos con comp TRUE; IEC compila con TON.</t>
        </is>
      </c>
      <c r="J17" s="42" t="inlineStr">
        <is>
          <t>Transición de parada por pérdida de permisivo ausente; solo arranque cubierto.</t>
        </is>
      </c>
      <c r="K17" s="42" t="inlineStr">
        <is>
          <t>Comentarios y nombres adecuados, flujo lineal.</t>
        </is>
      </c>
      <c r="L17" s="42" t="inlineStr">
        <is>
          <t>Modificable pero falta lógica de seguridad; umbral fijo.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I8-3657</t>
        </is>
      </c>
      <c r="B18" s="39" t="inlineStr">
        <is>
          <t>Compila. Falla 9 de 19 pasos del harness (pasos 1,3,4,10,13,14,15,17,18; numerados desde 0).</t>
        </is>
      </c>
      <c r="C18" s="41" t="n">
        <v>0</v>
      </c>
      <c r="D18" s="41" t="n">
        <v>2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Funcional: TP no asegura 3 s continuos y no detiene por pérdida; IEC: TP estándar compila.</t>
        </is>
      </c>
      <c r="J18" s="42" t="inlineStr">
        <is>
          <t>Temporizador inadecuado y falta de parada por permisivo; arranque nominal no se logra.</t>
        </is>
      </c>
      <c r="K18" s="42" t="inlineStr">
        <is>
          <t>Código sencillo y comentado; nombres comprensibles.</t>
        </is>
      </c>
      <c r="L18" s="42" t="inlineStr">
        <is>
          <t>Control frágil; reemplazar TP y añadir parada.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I8-7627</t>
        </is>
      </c>
      <c r="B19" s="39" t="inlineStr">
        <is>
          <t>Compila. Falla 8 de 19 pasos del harness (pasos 1,7,8,9,13,14,15,18; numerados desde 0).</t>
        </is>
      </c>
      <c r="C19" s="41" t="n">
        <v>0</v>
      </c>
      <c r="D19" s="41" t="n">
        <v>2</v>
      </c>
      <c r="E19" s="41" t="n">
        <v>0</v>
      </c>
      <c r="F19" s="41" t="n">
        <v>1</v>
      </c>
      <c r="G19" s="41" t="n">
        <v>1</v>
      </c>
      <c r="H19" s="40">
        <f>IF(COUNT(C19:G19)=5,SUM(C19:G19),"")</f>
        <v/>
      </c>
      <c r="I19" s="42" t="inlineStr">
        <is>
          <t>Funcional: btnParo no tiene prioridad porque el IF de marcha pisa el paro; IEC compila con TON.</t>
        </is>
      </c>
      <c r="J19" s="42" t="inlineStr">
        <is>
          <t>Prioridad de paro contradicha por IF posterior; flancos simulados sin efecto.</t>
        </is>
      </c>
      <c r="K19" s="42" t="inlineStr">
        <is>
          <t>Comentarios no revelan la lógica defectuosa; flujo confuso.</t>
        </is>
      </c>
      <c r="L19" s="42" t="inlineStr">
        <is>
          <t>Difícil de modificar sin reescribir el control.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I8-3596</t>
        </is>
      </c>
      <c r="B20" s="39" t="inlineStr">
        <is>
          <t>Compila. Pasa los 19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Funcional fijado; IEC: TON y flanco manual conformes.</t>
        </is>
      </c>
      <c r="J20" s="42" t="inlineStr">
        <is>
          <t>Cumple paro prioritario, arranque por flanco y bloqueo por permisivos.</t>
        </is>
      </c>
      <c r="K20" s="42" t="inlineStr">
        <is>
          <t>Comentarios de sección y nombres claros; algo compacto.</t>
        </is>
      </c>
      <c r="L20" s="42" t="inlineStr">
        <is>
          <t>Sencillo y localizado; literales de T#3S/códigos.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I8-1205</t>
        </is>
      </c>
      <c r="B21" s="39" t="inlineStr">
        <is>
          <t>No compila (5 errores).</t>
        </is>
      </c>
      <c r="C21" s="40" t="n">
        <v>0</v>
      </c>
      <c r="D21" s="40" t="n">
        <v>0</v>
      </c>
      <c r="E21" s="41" t="n">
        <v>1</v>
      </c>
      <c r="F21" s="41" t="n">
        <v>1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Lógica de arranque por nivel y sin parada por pérdida de permisivo; además ELSEIF inválido.</t>
        </is>
      </c>
      <c r="K21" s="42" t="inlineStr">
        <is>
          <t>Aunque hay comentarios y bloques, el error de sintaxis y control incompleto restan claridad.</t>
        </is>
      </c>
      <c r="L21" s="42" t="inlineStr">
        <is>
          <t>Requiere corregir sintaxis y rediseñar enclavamiento/parada.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I8-9515</t>
        </is>
      </c>
      <c r="B22" s="39" t="inlineStr">
        <is>
          <t>Compila. Falla 10 de 19 pasos del harness (pasos 1,5,6,11,12,13,14,15,17,18; numerados desde 0).</t>
        </is>
      </c>
      <c r="C22" s="41" t="n">
        <v>0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Funcional: no detiene al perder permisivos y causa usa pOilOk; IEC compila con TON.</t>
        </is>
      </c>
      <c r="J22" s="42" t="inlineStr">
        <is>
          <t>Falta rama de paro por permisivo; causa y arranque usados correctamente.</t>
        </is>
      </c>
      <c r="K22" s="42" t="inlineStr">
        <is>
          <t>Comentarios y nombres claros; estructura simple.</t>
        </is>
      </c>
      <c r="L22" s="42" t="inlineStr">
        <is>
          <t>Modificable, pero la seguridad debe añadirse; literales fijos.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I8-4489</t>
        </is>
      </c>
      <c r="B23" s="39" t="inlineStr">
        <is>
          <t>Compila. Pasa los 19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Funcional fijado; IEC: TON/R_TRIG idiomáticos.</t>
        </is>
      </c>
      <c r="J23" s="42" t="inlineStr">
        <is>
          <t>Consolidación correcta entre causa y permisivos; paro prioritario.</t>
        </is>
      </c>
      <c r="K23" s="42" t="inlineStr">
        <is>
          <t>Comentarios y nombres claros; algo compactos.</t>
        </is>
      </c>
      <c r="L23" s="42" t="inlineStr">
        <is>
          <t>Lógica clara y sin duplicación; códigos y tiempo directos.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I8-5557</t>
        </is>
      </c>
      <c r="B24" s="39" t="inlineStr">
        <is>
          <t>Compila. Falla 9 de 19 pasos del harness (pasos 1,3,4,10,13,14,15,17,18; numerados desde 0).</t>
        </is>
      </c>
      <c r="C24" s="41" t="n">
        <v>0</v>
      </c>
      <c r="D24" s="41" t="n">
        <v>2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Funcional: TP no valida 3s continuos y no detiene por pérdida; IEC: TP estándar compila.</t>
        </is>
      </c>
      <c r="J24" s="42" t="inlineStr">
        <is>
          <t>Temporización inadecuada para aceite y sin parada por permisivo.</t>
        </is>
      </c>
      <c r="K24" s="42" t="inlineStr">
        <is>
          <t>Comentarios simples y nombres claros.</t>
        </is>
      </c>
      <c r="L24" s="42" t="inlineStr">
        <is>
          <t>Modificable, pero necesita reemplazar temporizador y añadir parada.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I8-5917</t>
        </is>
      </c>
      <c r="B25" s="39" t="inlineStr">
        <is>
          <t>Compila. Pasa los 19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Funcional fijado; IEC: TON y flanco manual estándar.</t>
        </is>
      </c>
      <c r="J25" s="42" t="inlineStr">
        <is>
          <t>Cubre paro por botón y por pérdida de permisivo; flanco correcto.</t>
        </is>
      </c>
      <c r="K25" s="42" t="inlineStr">
        <is>
          <t>Comentarios y bloques lógicos claros.</t>
        </is>
      </c>
      <c r="L25" s="42" t="inlineStr">
        <is>
          <t>Lógica localizada; literales de códigos/tiempo sin parametrizar.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I8-6693</t>
        </is>
      </c>
      <c r="B26" s="39" t="inlineStr">
        <is>
          <t>Compila. Falla 9 de 19 pasos del harness (pasos 1,3,4,10,13,14,15,17,18; numerados desde 0).</t>
        </is>
      </c>
      <c r="C26" s="41" t="n">
        <v>0</v>
      </c>
      <c r="D26" s="41" t="n">
        <v>2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Funcional: TP no asegura 3s continuos y no detiene por pérdida; IEC: TP compila.</t>
        </is>
      </c>
      <c r="J26" s="42" t="inlineStr">
        <is>
          <t>Temporizador inadecuado para presión de aceite y sin paro por permisivo.</t>
        </is>
      </c>
      <c r="K26" s="42" t="inlineStr">
        <is>
          <t>Estructura simple y comentada.</t>
        </is>
      </c>
      <c r="L26" s="42" t="inlineStr">
        <is>
          <t>Requiere retoques mayores en control y temporización.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I8-5439</t>
        </is>
      </c>
      <c r="B27" s="39" t="inlineStr">
        <is>
          <t>Compila. Pasa los 19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Funcional fijado; IEC: TON/R_TRIG conforme.</t>
        </is>
      </c>
      <c r="J27" s="42" t="inlineStr">
        <is>
          <t>Buena consolidación de causa y permisivos; paro prioritario.</t>
        </is>
      </c>
      <c r="K27" s="42" t="inlineStr">
        <is>
          <t>Comentarios // claros, pasos ordenados.</t>
        </is>
      </c>
      <c r="L27" s="42" t="inlineStr">
        <is>
          <t>Cambios localizados y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I8-4402</t>
        </is>
      </c>
      <c r="B28" s="39" t="inlineStr">
        <is>
          <t>Compila. Pasa los 19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Funcional fijado; IEC: TON/R_TRIG correctos.</t>
        </is>
      </c>
      <c r="J28" s="42" t="inlineStr">
        <is>
          <t>Control completo; sin rearranque automático y paro prioritario.</t>
        </is>
      </c>
      <c r="K28" s="42" t="inlineStr">
        <is>
          <t>Comentarios y nombres descriptivos; estructura clara.</t>
        </is>
      </c>
      <c r="L28" s="42" t="inlineStr">
        <is>
          <t>Lógica clara, sin duplicación; constantes directas.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I8-1759</t>
        </is>
      </c>
      <c r="B29" s="39" t="inlineStr">
        <is>
          <t>Compila. Pasa los 19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Funcional fijado; IEC: TON/R_TRIG conformes.</t>
        </is>
      </c>
      <c r="J29" s="42" t="inlineStr">
        <is>
          <t>Control correcto de flanco, paro prioritario y causa unificada.</t>
        </is>
      </c>
      <c r="K29" s="42" t="inlineStr">
        <is>
          <t>Comentarios de sección y nombres claros.</t>
        </is>
      </c>
      <c r="L29" s="42" t="inlineStr">
        <is>
          <t>Simple y localizado; literales fijos.</t>
        </is>
      </c>
      <c r="M29" s="42" t="n"/>
      <c r="N29" s="40">
        <f>IF(COUNT(C29:G29)=5,"Completa","Falta")</f>
        <v/>
      </c>
    </row>
    <row r="30"/>
  </sheetData>
  <dataValidations count="3">
    <dataValidation sqref="C8:C10 C13 C17:C19 C22 C24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0 D22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A1 — Controlador PID con anti-windup (Avanzado)</t>
        </is>
      </c>
    </row>
    <row r="2" ht="15" customHeight="1" s="22">
      <c r="A2" s="33" t="inlineStr">
        <is>
          <t>Lee cada respuesta por su código en respuestas/Respuestas_A1.html.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A1-9962</t>
        </is>
      </c>
      <c r="B6" s="39" t="inlineStr">
        <is>
          <t>Compila. Pasa los 11 pasos del harness.</t>
        </is>
      </c>
      <c r="C6" s="40" t="n">
        <v>3</v>
      </c>
      <c r="D6" s="41" t="n">
        <v>2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Funcional fijado; IEC: compila sin cambios y usa TIME_TO_REAL correctamente, aunque sin VAR CONSTANT ni bloques estándar.</t>
        </is>
      </c>
      <c r="J6" s="42" t="inlineStr">
        <is>
          <t>Anti-windup correcto con CV previo, integral desactivada si Ti&lt;=0 y derivada sobre el error sin estados muertos.</t>
        </is>
      </c>
      <c r="K6" s="42" t="inlineStr">
        <is>
          <t>Buenos nombres, secciones ordenadas y comentarios breves que explican cada etapa.</t>
        </is>
      </c>
      <c r="L6" s="42" t="inlineStr">
        <is>
          <t>Lógica localizada y variables descriptivas, pero los límites de saturación y la protección de Ts no están parametrizados.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A1-1725</t>
        </is>
      </c>
      <c r="B7" s="39" t="inlineStr">
        <is>
          <t>No compila (32 errores).</t>
        </is>
      </c>
      <c r="C7" s="40" t="n">
        <v>0</v>
      </c>
      <c r="D7" s="40" t="n">
        <v>0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39" t="inlineStr"/>
      <c r="J7" s="42" t="inlineStr">
        <is>
          <t>La lógica PID y el anti-windup tentativo son coherentes y completos; el fallo de compilación es por identificador reservado.</t>
        </is>
      </c>
      <c r="K7" s="42" t="inlineStr">
        <is>
          <t>Nombres descriptivos y estructura clara, pero usa // y variable 'dt' que impide compilar.</t>
        </is>
      </c>
      <c r="L7" s="42" t="inlineStr">
        <is>
          <t>La lógica central está aislada y es modificable, aunque los límites 0/100 no están declarados como constantes.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A1-9421</t>
        </is>
      </c>
      <c r="B8" s="39" t="inlineStr">
        <is>
          <t>No compila (29 errores).</t>
        </is>
      </c>
      <c r="C8" s="40" t="n">
        <v>0</v>
      </c>
      <c r="D8" s="40" t="n">
        <v>0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39" t="inlineStr"/>
      <c r="J8" s="42" t="inlineStr">
        <is>
          <t>Anti-windup con salida no limitada correctamente evaluado y desactivación integral coherente; falla solo por compilación.</t>
        </is>
      </c>
      <c r="K8" s="42" t="inlineStr">
        <is>
          <t>Comentarios útiles y variables descriptivas, pero usa nombre de variable reservado 'dt'.</t>
        </is>
      </c>
      <c r="L8" s="42" t="inlineStr">
        <is>
          <t>Modificable y sin duplicación grave de lógica, aunque valores de saturación no parametrizados.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A1-8114</t>
        </is>
      </c>
      <c r="B9" s="39" t="inlineStr">
        <is>
          <t>No compila (24 errores).</t>
        </is>
      </c>
      <c r="C9" s="40" t="n">
        <v>0</v>
      </c>
      <c r="D9" s="40" t="n">
        <v>0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39" t="inlineStr"/>
      <c r="J9" s="42" t="inlineStr">
        <is>
          <t>Lógica PID y anti-windup por clamping bien condicionada, sin contradicciones ni estados inalcanzables.</t>
        </is>
      </c>
      <c r="K9" s="42" t="inlineStr">
        <is>
          <t>Excelente separación por secciones, nombres descriptivos y comentarios claros.</t>
        </is>
      </c>
      <c r="L9" s="42" t="inlineStr">
        <is>
          <t>Cambios localizados y variables claras, aunque los límites CV no están declarados como constantes.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A1-6268</t>
        </is>
      </c>
      <c r="B10" s="39" t="inlineStr">
        <is>
          <t>No compila (18 errores).</t>
        </is>
      </c>
      <c r="C10" s="40" t="n">
        <v>0</v>
      </c>
      <c r="D10" s="40" t="n">
        <v>0</v>
      </c>
      <c r="E10" s="41" t="n">
        <v>1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El anti-windup resta el incremento en ambas saturaciones sin evaluar el signo del error, pudiendo acumular en dirección incorrecta.</t>
        </is>
      </c>
      <c r="K10" s="42" t="inlineStr">
        <is>
          <t>Nombres descriptivos y comentarios, pero usa // y conceptos de tiempo mal planteados.</t>
        </is>
      </c>
      <c r="L10" s="42" t="inlineStr">
        <is>
          <t>Valores mágicos, divisor Kp no protegido y lógica anti-windup que requeriría reescritura.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A1-7933</t>
        </is>
      </c>
      <c r="B11" s="39" t="inlineStr">
        <is>
          <t>No compila (27 errores).</t>
        </is>
      </c>
      <c r="C11" s="40" t="n">
        <v>0</v>
      </c>
      <c r="D11" s="40" t="n">
        <v>0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39" t="inlineStr"/>
      <c r="J11" s="42" t="inlineStr">
        <is>
          <t>Anti-windup bien planteado con salida preliminar; desactivación integral y derivada coherentes.</t>
        </is>
      </c>
      <c r="K11" s="42" t="inlineStr">
        <is>
          <t>Comentarios descriptivos y estructura clara, aunque usa // y variable 'dt' reservada.</t>
        </is>
      </c>
      <c r="L11" s="42" t="inlineStr">
        <is>
          <t>Lógica localizada, pero saturación y conversión de tiempo no parametrizadas.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A1-7927</t>
        </is>
      </c>
      <c r="B12" s="39" t="inlineStr">
        <is>
          <t>No compila (30 errores).</t>
        </is>
      </c>
      <c r="C12" s="40" t="n">
        <v>0</v>
      </c>
      <c r="D12" s="40" t="n">
        <v>0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39" t="inlineStr"/>
      <c r="J12" s="42" t="inlineStr">
        <is>
          <t>Protección por dt, anti-windup con CV previo y actualización de error son lógicamente consistentes.</t>
        </is>
      </c>
      <c r="K12" s="42" t="inlineStr">
        <is>
          <t>Comentarios útiles y nombres claros, aunque usa variable 'dt' que impide compilar.</t>
        </is>
      </c>
      <c r="L12" s="42" t="inlineStr">
        <is>
          <t>Cambios localizados; no declara constantes para límites ni Ts mínimo.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A1-6125</t>
        </is>
      </c>
      <c r="B13" s="39" t="inlineStr">
        <is>
          <t>No compila (23 errores).</t>
        </is>
      </c>
      <c r="C13" s="40" t="n">
        <v>0</v>
      </c>
      <c r="D13" s="40" t="n">
        <v>0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39" t="inlineStr"/>
      <c r="J13" s="42" t="inlineStr">
        <is>
          <t>Integral acumulada como término I, anti-windup condicionado por signo y desactivación correctos.</t>
        </is>
      </c>
      <c r="K13" s="42" t="inlineStr">
        <is>
          <t>Variables descriptivas y comentarios por término, aunque falla por identificador 'dt'.</t>
        </is>
      </c>
      <c r="L13" s="42" t="inlineStr">
        <is>
          <t>Modificable con cambios localizados, sin constantes de saturación.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A1-3038</t>
        </is>
      </c>
      <c r="B14" s="39" t="inlineStr">
        <is>
          <t>No compila (2 errores).</t>
        </is>
      </c>
      <c r="C14" s="40" t="n">
        <v>0</v>
      </c>
      <c r="D14" s="40" t="n">
        <v>0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39" t="inlineStr"/>
      <c r="J14" s="42" t="inlineStr">
        <is>
          <t>Anti-windup por MIN/MAX es razonable, pero CV divide por Ti incondicionalmente y fallaría para Ti&lt;=0.</t>
        </is>
      </c>
      <c r="K14" s="42" t="inlineStr">
        <is>
          <t>Comentarios y nombres claros, aunque la conversión de tiempo está invertida.</t>
        </is>
      </c>
      <c r="L14" s="42" t="inlineStr">
        <is>
          <t>Modificable con esfuerzo; la conversión errónea está centralizada pero los límites no.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A1-7444</t>
        </is>
      </c>
      <c r="B15" s="39" t="inlineStr">
        <is>
          <t>Compila. Pasa los 11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3</v>
      </c>
      <c r="H15" s="40">
        <f>IF(COUNT(C15:G15)=5,SUM(C15:G15),"")</f>
        <v/>
      </c>
      <c r="I15" s="42" t="inlineStr">
        <is>
          <t>Funcional fijado; IEC: compila limpio y usa VAR CONSTANT, TIME_TO_REAL y estructura de FB idiomática.</t>
        </is>
      </c>
      <c r="J15" s="42" t="inlineStr">
        <is>
          <t>Anti-windup correcto con saturación alta/baja, Ts protegida y estados coherentes.</t>
        </is>
      </c>
      <c r="K15" s="42" t="inlineStr">
        <is>
          <t>Separación en secciones numeradas, nombres descriptivos y comentarios que explican el porqué.</t>
        </is>
      </c>
      <c r="L15" s="42" t="inlineStr">
        <is>
          <t>Límites como constantes, lógica sin duplicación y diseño extensible mediante FB.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A1-7874</t>
        </is>
      </c>
      <c r="B16" s="39" t="inlineStr">
        <is>
          <t>No compila (17 errores).</t>
        </is>
      </c>
      <c r="C16" s="40" t="n">
        <v>0</v>
      </c>
      <c r="D16" s="40" t="n">
        <v>0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39" t="inlineStr"/>
      <c r="J16" s="42" t="inlineStr">
        <is>
          <t>La lógica integral y anti-windup es internamente consistente; falla por conversión de tiempo y compilación.</t>
        </is>
      </c>
      <c r="K16" s="42" t="inlineStr">
        <is>
          <t>Comentarios breves y nombres claros, pero la conversión de tiempo confunde.</t>
        </is>
      </c>
      <c r="L16" s="42" t="inlineStr">
        <is>
          <t>La conversión errónea se repite en varios puntos y los límites no están parametrizados.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A1-9190</t>
        </is>
      </c>
      <c r="B17" s="39" t="inlineStr">
        <is>
          <t>No compila (25 errores).</t>
        </is>
      </c>
      <c r="C17" s="40" t="n">
        <v>0</v>
      </c>
      <c r="D17" s="40" t="n">
        <v>0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39" t="inlineStr"/>
      <c r="J17" s="42" t="inlineStr">
        <is>
          <t>La detección de saturación usa solo la parte proporcional, no la salida completa, y la lógica de anti-windup queda invertida.</t>
        </is>
      </c>
      <c r="K17" s="42" t="inlineStr">
        <is>
          <t>Nombres descriptivos y constantes declaradas, pero usa // y existe duplicación de saturación.</t>
        </is>
      </c>
      <c r="L17" s="42" t="inlineStr">
        <is>
          <t>Constantes CV_MIN/CV_MAX ayudan, aunque la lógica de saturación requeriría cambios profundos.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A1-6243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39" t="inlineStr"/>
      <c r="J18" s="42" t="inlineStr">
        <is>
          <t>Anti-windup por MIN/MAX no impide estrictamente acumular error positivo en todos los estados previos.</t>
        </is>
      </c>
      <c r="K18" s="42" t="inlineStr">
        <is>
          <t>Comentarios claros y nombres descriptivos, aunque la conversión de tiempo es incorrecta.</t>
        </is>
      </c>
      <c r="L18" s="42" t="inlineStr">
        <is>
          <t>La conversión está centralizada y el resto de la lógica es localizada.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A1-6380</t>
        </is>
      </c>
      <c r="B19" s="39" t="inlineStr">
        <is>
          <t>No compila (2 errores).</t>
        </is>
      </c>
      <c r="C19" s="40" t="n">
        <v>0</v>
      </c>
      <c r="D19" s="40" t="n">
        <v>0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39" t="inlineStr"/>
      <c r="J19" s="42" t="inlineStr">
        <is>
          <t>Anti-windup por resta del incremento y desactivación integral son internamente coherentes.</t>
        </is>
      </c>
      <c r="K19" s="42" t="inlineStr">
        <is>
          <t>Comentarios y nombres claros, aunque la conversión de tiempo es errónea.</t>
        </is>
      </c>
      <c r="L19" s="42" t="inlineStr">
        <is>
          <t>Lógica localizada y modificable; límites sin declarar.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A1-5398</t>
        </is>
      </c>
      <c r="B20" s="39" t="inlineStr">
        <is>
          <t>No compila (17 errores).</t>
        </is>
      </c>
      <c r="C20" s="40" t="n">
        <v>0</v>
      </c>
      <c r="D20" s="40" t="n">
        <v>0</v>
      </c>
      <c r="E20" s="41" t="n">
        <v>3</v>
      </c>
      <c r="F20" s="41" t="n">
        <v>2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Anti-windup condicionado por signo y cálculo PID coherentes; falla por conversión TIME mal usada.</t>
        </is>
      </c>
      <c r="K20" s="42" t="inlineStr">
        <is>
          <t>Comentarios y nombres razonables, pero el uso de REAL_TO_TIME sobre TIME confunde.</t>
        </is>
      </c>
      <c r="L20" s="42" t="inlineStr">
        <is>
          <t>Conversión errónea repetida y límites mágicos dificultan cambios seguros.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A1-9749</t>
        </is>
      </c>
      <c r="B21" s="39" t="inlineStr">
        <is>
          <t>No compila (16 errores).</t>
        </is>
      </c>
      <c r="C21" s="40" t="n">
        <v>0</v>
      </c>
      <c r="D21" s="40" t="n">
        <v>0</v>
      </c>
      <c r="E21" s="41" t="n">
        <v>3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La lógica de integración, derivada y anti-windup es coherente; falla por operación TIME/TIME inválida.</t>
        </is>
      </c>
      <c r="K21" s="42" t="inlineStr">
        <is>
          <t>Comentarios simples y variables claras, aunque usa // y tipos TIME para dt_sec.</t>
        </is>
      </c>
      <c r="L21" s="42" t="inlineStr">
        <is>
          <t>La división de tiempos no es estándar y los límites no están declarados.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A1-9704</t>
        </is>
      </c>
      <c r="B22" s="39" t="inlineStr">
        <is>
          <t>No compila (25 errores).</t>
        </is>
      </c>
      <c r="C22" s="40" t="n">
        <v>0</v>
      </c>
      <c r="D22" s="40" t="n">
        <v>0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39" t="inlineStr"/>
      <c r="J22" s="42" t="inlineStr">
        <is>
          <t>El anti-windup usa una salida parcial y puede acumular integral no aplicada, provocando windup diferido.</t>
        </is>
      </c>
      <c r="K22" s="42" t="inlineStr">
        <is>
          <t>Usa comentarios y constantes declaradas, aunque con // y conversión correcta mal empleada.</t>
        </is>
      </c>
      <c r="L22" s="42" t="inlineStr">
        <is>
          <t>Las constantes de saturación ayudan, pero la rama anti-windup está mal estructurada.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A1-6233</t>
        </is>
      </c>
      <c r="B23" s="39" t="inlineStr">
        <is>
          <t>No compila (18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Anti-windup resta solo 'e' y no el incremento integral, con efecto incorrecto y tipos TIME mal usados.</t>
        </is>
      </c>
      <c r="K23" s="42" t="inlineStr">
        <is>
          <t>Comentarios presentes y nombres claros, aunque con // y errores de tipos.</t>
        </is>
      </c>
      <c r="L23" s="42" t="inlineStr">
        <is>
          <t>Constantes mágicas y correcciones manuales del anti-windup hacen frágil la modificación.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A1-7633</t>
        </is>
      </c>
      <c r="B24" s="39" t="inlineStr">
        <is>
          <t>No compila (28 errores).</t>
        </is>
      </c>
      <c r="C24" s="40" t="n">
        <v>0</v>
      </c>
      <c r="D24" s="40" t="n">
        <v>0</v>
      </c>
      <c r="E24" s="41" t="n">
        <v>1</v>
      </c>
      <c r="F24" s="41" t="n">
        <v>2</v>
      </c>
      <c r="G24" s="41" t="n">
        <v>2</v>
      </c>
      <c r="H24" s="40">
        <f>IF(COUNT(C24:G24)=5,SUM(C24:G24),"")</f>
        <v/>
      </c>
      <c r="I24" s="39" t="inlineStr"/>
      <c r="J24" s="42" t="inlineStr">
        <is>
          <t>La salida divide por Ti incondicionalmente y el anti-windup no cubre Ti&lt;=0 de forma segura.</t>
        </is>
      </c>
      <c r="K24" s="42" t="inlineStr">
        <is>
          <t>Comentarios y constantes declaradas, aunque usa // y la conversión TIME está invertida.</t>
        </is>
      </c>
      <c r="L24" s="42" t="inlineStr">
        <is>
          <t>Constantes de saturación presentes, pero la lógica de Ti&lt;=0 debe corregirse.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A1-5864</t>
        </is>
      </c>
      <c r="B25" s="39" t="inlineStr">
        <is>
          <t>No compila (11 errores).</t>
        </is>
      </c>
      <c r="C25" s="40" t="n">
        <v>0</v>
      </c>
      <c r="D25" s="40" t="n">
        <v>0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Cálculo PID y anti-windup condicionado son lógicamente coherentes; falla por conversión TIME.</t>
        </is>
      </c>
      <c r="K25" s="42" t="inlineStr">
        <is>
          <t>Nombres y comentarios claros, aunque mezcla REAL_TO_TIME y TIME de forma confusa.</t>
        </is>
      </c>
      <c r="L25" s="42" t="inlineStr">
        <is>
          <t>La conversión errónea aparece repetida y los límites no están parametrizados.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A1-5313</t>
        </is>
      </c>
      <c r="B26" s="39" t="inlineStr">
        <is>
          <t>No compila (24 errores).</t>
        </is>
      </c>
      <c r="C26" s="40" t="n">
        <v>0</v>
      </c>
      <c r="D26" s="40" t="n">
        <v>0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39" t="inlineStr"/>
      <c r="J26" s="42" t="inlineStr">
        <is>
          <t>Anti-windup por signo del error, integral pura y derivada en Td son coherentes.</t>
        </is>
      </c>
      <c r="K26" s="42" t="inlineStr">
        <is>
          <t>Comentarios por secciones y nombres descriptivos, aunque usa variable reservada 'dt'.</t>
        </is>
      </c>
      <c r="L26" s="42" t="inlineStr">
        <is>
          <t>Modificable con cambios localizados; no hay constantes de límites.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A1-2241</t>
        </is>
      </c>
      <c r="B27" s="39" t="inlineStr">
        <is>
          <t>Compila. Pasa los 11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Funcional fijado; IEC: compila limpio, usa TIME_TO_DINT/DINT_TO_REAL y estructura clara de FB.</t>
        </is>
      </c>
      <c r="J27" s="42" t="inlineStr">
        <is>
          <t>Anti-windup robusto y desactivación integral explícita para Ti&lt;=0; sin estados muertos.</t>
        </is>
      </c>
      <c r="K27" s="42" t="inlineStr">
        <is>
          <t>Secciones numeradas, nombres descriptivos y comentarios que explican el criterio de integración.</t>
        </is>
      </c>
      <c r="L27" s="42" t="inlineStr">
        <is>
          <t>Lógica centralizada y extensible, aunque los límites de saturación no están declarados como constantes.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A1-6805</t>
        </is>
      </c>
      <c r="B28" s="39" t="inlineStr">
        <is>
          <t>No compila (24 errores).</t>
        </is>
      </c>
      <c r="C28" s="40" t="n">
        <v>0</v>
      </c>
      <c r="D28" s="40" t="n">
        <v>0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39" t="inlineStr"/>
      <c r="J28" s="42" t="inlineStr">
        <is>
          <t>Lógica anti-windup con clamp_ok bien definida y desactivación integral coherente.</t>
        </is>
      </c>
      <c r="K28" s="42" t="inlineStr">
        <is>
          <t>Excelente estructura por secciones, nombres descriptivos y comentarios claros.</t>
        </is>
      </c>
      <c r="L28" s="42" t="inlineStr">
        <is>
          <t>Cambios localizados y lógica centralizada; límites no declarados como constantes.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A1-8493</t>
        </is>
      </c>
      <c r="B29" s="39" t="inlineStr">
        <is>
          <t>No compila (24 errores).</t>
        </is>
      </c>
      <c r="C29" s="40" t="n">
        <v>0</v>
      </c>
      <c r="D29" s="40" t="n">
        <v>0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39" t="inlineStr"/>
      <c r="J29" s="42" t="inlineStr">
        <is>
          <t>Anti-windup correcto con CV previo y desactivación integral explícita; sin contradicciones.</t>
        </is>
      </c>
      <c r="K29" s="42" t="inlineStr">
        <is>
          <t>Comentarios y nombres claros, aunque usa variable 'dt' que impide compilar.</t>
        </is>
      </c>
      <c r="L29" s="42" t="inlineStr">
        <is>
          <t>Lógica localizada y sin duplicación, pero límites no parametrizados.</t>
        </is>
      </c>
      <c r="M29" s="42" t="n"/>
      <c r="N29" s="40">
        <f>IF(COUNT(C29:G29)=5,"Completa","Falta")</f>
        <v/>
      </c>
    </row>
    <row r="30"/>
  </sheetData>
  <dataValidations count="2">
    <dataValidation sqref="D6 D15 D27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A2 — Control por lotes multifase (Avanzado)</t>
        </is>
      </c>
    </row>
    <row r="2" ht="15" customHeight="1" s="22">
      <c r="A2" s="33" t="inlineStr">
        <is>
          <t>Lee cada respuesta por su código en respuestas/Respuestas_A2.html.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A2-8363</t>
        </is>
      </c>
      <c r="B6" s="39" t="inlineStr">
        <is>
          <t>Compila. Pasa los 25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Uso idiomático de R_TRIG y TON bien instanciado; T#120S correcto y declaraciones estándar.</t>
        </is>
      </c>
      <c r="J6" s="42" t="inlineStr">
        <is>
          <t>Máquina de estados sin contradicciones; aborto por flanco y temporizador reseteado por IN de fase.</t>
        </is>
      </c>
      <c r="K6" s="42" t="inlineStr">
        <is>
          <t>Separación clara en flancos, aborto, máquina, temporizador y salidas, con comentarios por bloque.</t>
        </is>
      </c>
      <c r="L6" s="42" t="inlineStr">
        <is>
          <t>Lógica centralizada y sin duplicación, pero T#120S no está declarado como constante.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A2-7833</t>
        </is>
      </c>
      <c r="B7" s="39" t="inlineStr">
        <is>
          <t>Compila. Pasa los 25 pasos del harness.</t>
        </is>
      </c>
      <c r="C7" s="40" t="n">
        <v>3</v>
      </c>
      <c r="D7" s="41" t="n">
        <v>2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TON estándar, pero se llama condicionalmente dentro de la fase 4; declaraciones correctas.</t>
        </is>
      </c>
      <c r="J7" s="42" t="inlineStr">
        <is>
          <t>Receta principal correcta, aunque el temporizador no se resetea fuera de fase 4 y el arranque es por nivel.</t>
        </is>
      </c>
      <c r="K7" s="42" t="inlineStr">
        <is>
          <t>Comentarios y nombres aceptables; estructura CASE ordenada.</t>
        </is>
      </c>
      <c r="L7" s="42" t="inlineStr">
        <is>
          <t>T#120S mágico, sin constantes ni parámetros; lógica de aborto al final del bloque.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A2-7551</t>
        </is>
      </c>
      <c r="B8" s="39" t="inlineStr">
        <is>
          <t>Compila. Pasa los 25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TON estándar con tipo TIME correcto; temporizador condicional dentro de CASE.</t>
        </is>
      </c>
      <c r="J8" s="42" t="inlineStr">
        <is>
          <t>Flujo principal coherente; temporizador no se evalúa fuera de fase 4, con riesgo al repetir receta.</t>
        </is>
      </c>
      <c r="K8" s="42" t="inlineStr">
        <is>
          <t>Comentarios breves y nombres descriptivos; constante de tiempo declarada.</t>
        </is>
      </c>
      <c r="L8" s="42" t="inlineStr">
        <is>
          <t>T#120S declarado como constante y lógica centralizada; sin parámetros de receta.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A2-3687</t>
        </is>
      </c>
      <c r="B9" s="39" t="inlineStr">
        <is>
          <t>No compila (12 errores).</t>
        </is>
      </c>
      <c r="C9" s="40" t="n">
        <v>0</v>
      </c>
      <c r="D9" s="40" t="n">
        <v>0</v>
      </c>
      <c r="E9" s="41" t="n">
        <v>0</v>
      </c>
      <c r="F9" s="41" t="n">
        <v>2</v>
      </c>
      <c r="G9" s="41" t="n">
        <v>1</v>
      </c>
      <c r="H9" s="40">
        <f>IF(COUNT(C9:G9)=5,SUM(C9:G9),"")</f>
        <v/>
      </c>
      <c r="I9" s="39" t="inlineStr"/>
      <c r="J9" s="42" t="inlineStr">
        <is>
          <t>TP en mezcla activa Q inmediatamente y acortaría fase 4 a un ciclo, sin temporización real.</t>
        </is>
      </c>
      <c r="K9" s="42" t="inlineStr">
        <is>
          <t>Comentarios y estructura CASE claros, aunque la elección de TP no se justifica.</t>
        </is>
      </c>
      <c r="L9" s="42" t="inlineStr">
        <is>
          <t>T#120S mágico y banderas manuales; lógica embebida en un bloque.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A2-2878</t>
        </is>
      </c>
      <c r="B10" s="39" t="inlineStr">
        <is>
          <t>Compila. Falla 5 de 25 pasos del harness (pasos 8,9,10,11,12; numerados desde 0).</t>
        </is>
      </c>
      <c r="C10" s="41" t="n">
        <v>0</v>
      </c>
      <c r="D10" s="41" t="n">
        <v>2</v>
      </c>
      <c r="E10" s="41" t="n">
        <v>0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Funcional 0: la mezcla no temporiza porque tMezcla no se llama en fase 4; IEC 2: TON estándar mal instanciado.</t>
        </is>
      </c>
      <c r="J10" s="42" t="inlineStr">
        <is>
          <t>tMezcla.Q nunca se actualiza en fase 4, condición inalcanzable y receta bloqueada.</t>
        </is>
      </c>
      <c r="K10" s="42" t="inlineStr">
        <is>
          <t>Estructura CASE con comentarios por fase y nombres claros.</t>
        </is>
      </c>
      <c r="L10" s="42" t="inlineStr">
        <is>
          <t>T#120S directo, sin constantes y temporizador acoplado a transición.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A2-1185</t>
        </is>
      </c>
      <c r="B11" s="39" t="inlineStr">
        <is>
          <t>Compila. Pasa los 25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1</v>
      </c>
      <c r="H11" s="40">
        <f>IF(COUNT(C11:G11)=5,SUM(C11:G11),"")</f>
        <v/>
      </c>
      <c r="I11" s="42" t="inlineStr">
        <is>
          <t>TON llamado cada ciclo desde el CASE de salidas; tipos TIME y flancos manuales correctos.</t>
        </is>
      </c>
      <c r="J11" s="42" t="inlineStr">
        <is>
          <t>Flancos, aborto en cada fase y salidas determinadas por fase; sin estados inalcanzables.</t>
        </is>
      </c>
      <c r="K11" s="42" t="inlineStr">
        <is>
          <t>Muy organizada: detección de flancos, transiciones, salidas y memoria separadas, con comentarios.</t>
        </is>
      </c>
      <c r="L11" s="42" t="inlineStr">
        <is>
          <t>Aborto repetido en varias fases y T#120S sin constante; pese a la claridad, cambios requieren tocar varios puntos.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A2-7260</t>
        </is>
      </c>
      <c r="B12" s="39" t="inlineStr">
        <is>
          <t>No compila (4 errores).</t>
        </is>
      </c>
      <c r="C12" s="40" t="n">
        <v>0</v>
      </c>
      <c r="D12" s="40" t="n">
        <v>0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39" t="inlineStr"/>
      <c r="J12" s="42" t="inlineStr">
        <is>
          <t>Execute usa OR con efectos laterales y puede saltarse UpdateBatch; no hay actualización confiable.</t>
        </is>
      </c>
      <c r="K12" s="42" t="inlineStr">
        <is>
          <t>Separación en métodos comprensible, pero no válida y con comentarios escasos.</t>
        </is>
      </c>
      <c r="L12" s="42" t="inlineStr">
        <is>
          <t>Métodos separan funciones, aunque T#120S mágico y sin constantes.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A2-5299</t>
        </is>
      </c>
      <c r="B13" s="39" t="inlineStr">
        <is>
          <t>Compila. Falla 2 de 25 pasos del harness (pasos 8,9;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0: TP Q se activa al entrar en fase 4 y acorta la mezcla; IEC 2: compila con TP estándar pero no es idiomático.</t>
        </is>
      </c>
      <c r="J13" s="42" t="inlineStr">
        <is>
          <t>Fase 4 con TP pasa inmediatamente a fase 5 al activarse Q; mezcla de 120 s inalcanzable.</t>
        </is>
      </c>
      <c r="K13" s="42" t="inlineStr">
        <is>
          <t>Código ordenado con CASE y comentarios; nombres descriptivos.</t>
        </is>
      </c>
      <c r="L13" s="42" t="inlineStr">
        <is>
          <t>T#120S mágico y sin constantes; lógica de botones y fases en un único bloque.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A2-3859</t>
        </is>
      </c>
      <c r="B14" s="39" t="inlineStr">
        <is>
          <t>Compila. Pasa los 25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TON estándar bien instanciado, llamado en fase 4 y con reset fuera de ella; T#120S correcto.</t>
        </is>
      </c>
      <c r="J14" s="42" t="inlineStr">
        <is>
          <t>Abort, salidas por fase y reset del temporizador cubren los estados; sin contradicciones.</t>
        </is>
      </c>
      <c r="K14" s="42" t="inlineStr">
        <is>
          <t>Comentarios por sección y fase; estructura CASE muy legible.</t>
        </is>
      </c>
      <c r="L14" s="42" t="inlineStr">
        <is>
          <t>Salidas y estados localizados, pero T#120S no está parametrizado.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A2-7745</t>
        </is>
      </c>
      <c r="B15" s="39" t="inlineStr">
        <is>
          <t>No compila (2 errores).</t>
        </is>
      </c>
      <c r="C15" s="40" t="n">
        <v>0</v>
      </c>
      <c r="D15" s="40" t="n">
        <v>0</v>
      </c>
      <c r="E15" s="41" t="n">
        <v>2</v>
      </c>
      <c r="F15" s="41" t="n">
        <v>2</v>
      </c>
      <c r="G15" s="41" t="n">
        <v>1</v>
      </c>
      <c r="H15" s="40">
        <f>IF(COUNT(C15:G15)=5,SUM(C15:G15),"")</f>
        <v/>
      </c>
      <c r="I15" s="39" t="inlineStr"/>
      <c r="J15" s="42" t="inlineStr">
        <is>
          <t>Lógica de fases y aborto razonable; abortActivo queda informativo y temporizador no se resetea en abort.</t>
        </is>
      </c>
      <c r="K15" s="42" t="inlineStr">
        <is>
          <t>Buenas secciones y comentarios, aunque la sintaxis de CASE con ELSE: es inválida.</t>
        </is>
      </c>
      <c r="L15" s="42" t="inlineStr">
        <is>
          <t>T#120S mágico y sin constantes; lógica acoplada en un bloque.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A2-4520</t>
        </is>
      </c>
      <c r="B16" s="39" t="inlineStr">
        <is>
          <t>Compila. Falla 10 de 25 pasos del harness (pasos 8,9,17,18,19,20,21,22,23,24; numerados desde 0).</t>
        </is>
      </c>
      <c r="C16" s="41" t="n">
        <v>0</v>
      </c>
      <c r="D16" s="41" t="n">
        <v>2</v>
      </c>
      <c r="E16" s="41" t="n">
        <v>0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Funcional 0: temporización de mezcla invertida/no llamada en fase 4; IEC 2: TON estándar mal instanciado.</t>
        </is>
      </c>
      <c r="J16" s="42" t="inlineStr">
        <is>
          <t>Fase 4 usa IF NOT tMezcla.Q para salir; como Q es falso, descarga inmediata y mezcla inalcanzable.</t>
        </is>
      </c>
      <c r="K16" s="42" t="inlineStr">
        <is>
          <t>Comentarios por fase y nombres claros; el fallo no es de legibilidad.</t>
        </is>
      </c>
      <c r="L16" s="42" t="inlineStr">
        <is>
          <t>T#120S directo y temporización embebida en transición; sin constantes.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A2-5579</t>
        </is>
      </c>
      <c r="B17" s="39" t="inlineStr">
        <is>
          <t>No compila (4 errores).</t>
        </is>
      </c>
      <c r="C17" s="40" t="n">
        <v>0</v>
      </c>
      <c r="D17" s="40" t="n">
        <v>0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39" t="inlineStr"/>
      <c r="J17" s="42" t="inlineStr">
        <is>
          <t>Execute no se invoca en el cuerpo del FB y AbortBatch actúa también en reposo; estados sin ejecutar.</t>
        </is>
      </c>
      <c r="K17" s="42" t="inlineStr">
        <is>
          <t>Métodos con nombres claros, pero sin llamada visible y con comentarios escasos.</t>
        </is>
      </c>
      <c r="L17" s="42" t="inlineStr">
        <is>
          <t>Separación por métodos, pero T#120S mágico y sin parámetros.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A2-5565</t>
        </is>
      </c>
      <c r="B18" s="39" t="inlineStr">
        <is>
          <t>No compila (25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timerMezcladorActive impide actualizar el temporizador tras el primer ciclo; Execute puede saltarse UpdateBatch.</t>
        </is>
      </c>
      <c r="K18" s="42" t="inlineStr">
        <is>
          <t>Métodos y nombres comprensibles, aunque los RETURN TRUE oscurecen el flujo.</t>
        </is>
      </c>
      <c r="L18" s="42" t="inlineStr">
        <is>
          <t>Sin constantes; temporización embebida y flujo con retornos tempranos.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A2-8269</t>
        </is>
      </c>
      <c r="B19" s="39" t="inlineStr">
        <is>
          <t>Compila. Pasa los 25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TON estándar llamado cada ciclo con IN=(fase=4); declaraciones y tipos correctos.</t>
        </is>
      </c>
      <c r="J19" s="42" t="inlineStr">
        <is>
          <t>Máquina de estados y aborto sin contradicciones; salidas calculadas por fase evitan actuadores colgados.</t>
        </is>
      </c>
      <c r="K19" s="42" t="inlineStr">
        <is>
          <t>Código conciso, comentado, con nombres descriptivos.</t>
        </is>
      </c>
      <c r="L19" s="42" t="inlineStr">
        <is>
          <t>Salidas centralizadas y pocos puntos de cambio; T#120S sin constante.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A2-8208</t>
        </is>
      </c>
      <c r="B20" s="39" t="inlineStr">
        <is>
          <t>Compila. Pasa los 25 pasos del harness.</t>
        </is>
      </c>
      <c r="C20" s="40" t="n">
        <v>3</v>
      </c>
      <c r="D20" s="41" t="n">
        <v>2</v>
      </c>
      <c r="E20" s="41" t="n">
        <v>2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TON estándar, pero solo se llama dentro de la fase 4; reseteo no cubre todos los abortos.</t>
        </is>
      </c>
      <c r="J20" s="42" t="inlineStr">
        <is>
          <t>Lógica de fases clara, pero abortando no se usa y el temporizador no se resetea explícitamente al abortar en fase 4.</t>
        </is>
      </c>
      <c r="K20" s="42" t="inlineStr">
        <is>
          <t>Excelente estructura por fases, comentarios descriptivos y salidas explícitas.</t>
        </is>
      </c>
      <c r="L20" s="42" t="inlineStr">
        <is>
          <t>Salidas por fase claras, aunque T#120S aparece repetido y sin constante.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A2-3851</t>
        </is>
      </c>
      <c r="B21" s="39" t="inlineStr">
        <is>
          <t>Compila. Pasa los 25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TON estándar, pero se llama condicionalmente dentro de la fase 4; declaraciones correctas.</t>
        </is>
      </c>
      <c r="J21" s="42" t="inlineStr">
        <is>
          <t>Receta principal correcta; temporizador no reseteado fuera de fase 4, riesgo en ciclos repetidos.</t>
        </is>
      </c>
      <c r="K21" s="42" t="inlineStr">
        <is>
          <t>Comentarios breves y estructura CASE; nombres descriptivos.</t>
        </is>
      </c>
      <c r="L21" s="42" t="inlineStr">
        <is>
          <t>T#120S mágico, sin constante ni parámetros de receta.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A2-2820</t>
        </is>
      </c>
      <c r="B22" s="39" t="inlineStr">
        <is>
          <t>No compila (2 errores).</t>
        </is>
      </c>
      <c r="C22" s="40" t="n">
        <v>0</v>
      </c>
      <c r="D22" s="40" t="n">
        <v>0</v>
      </c>
      <c r="E22" s="41" t="n">
        <v>2</v>
      </c>
      <c r="F22" s="41" t="n">
        <v>2</v>
      </c>
      <c r="G22" s="41" t="n">
        <v>1</v>
      </c>
      <c r="H22" s="40">
        <f>IF(COUNT(C22:G22)=5,SUM(C22:G22),"")</f>
        <v/>
      </c>
      <c r="I22" s="39" t="inlineStr"/>
      <c r="J22" s="42" t="inlineStr">
        <is>
          <t>Lógica de fase y aborto coherente en general; abortando es redundante y la sintaxis de CASE es inválida.</t>
        </is>
      </c>
      <c r="K22" s="42" t="inlineStr">
        <is>
          <t>Buenas secciones y comentarios; error de sintaxis en ELSE:.</t>
        </is>
      </c>
      <c r="L22" s="42" t="inlineStr">
        <is>
          <t>T#120S mágico y sin constantes; lógica en un único bloque.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A2-4087</t>
        </is>
      </c>
      <c r="B23" s="39" t="inlineStr">
        <is>
          <t>Compila. Pasa los 25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TON bien instanciado y llamado cada ciclo con IN=(fase=4); T#120S correcto.</t>
        </is>
      </c>
      <c r="J23" s="42" t="inlineStr">
        <is>
          <t>Máquina de estados y aborto sin contradicciones; salidas centralizadas según fase.</t>
        </is>
      </c>
      <c r="K23" s="42" t="inlineStr">
        <is>
          <t>Código conciso con comentarios básicos; estructura clara.</t>
        </is>
      </c>
      <c r="L23" s="42" t="inlineStr">
        <is>
          <t>Salidas y transiciones localizadas; T#120S sin constante.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A2-5337</t>
        </is>
      </c>
      <c r="B24" s="39" t="inlineStr">
        <is>
          <t>Compila. Pasa los 25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Uso idiomático de R_TRIG y TON; T#120S y declaraciones correctas.</t>
        </is>
      </c>
      <c r="J24" s="42" t="inlineStr">
        <is>
          <t>Flancos evitan arranques/abortes repetidos; temporizador y salidas sin estados muertos.</t>
        </is>
      </c>
      <c r="K24" s="42" t="inlineStr">
        <is>
          <t>Separación clara entre flancos, aborto, máquina, temporizador y salidas; comentarios útiles.</t>
        </is>
      </c>
      <c r="L24" s="42" t="inlineStr">
        <is>
          <t>Lógica sin duplicación relevante; T#120S no parametrizado.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A2-4573</t>
        </is>
      </c>
      <c r="B25" s="39" t="inlineStr">
        <is>
          <t>No compila (1 errores).</t>
        </is>
      </c>
      <c r="C25" s="40" t="n">
        <v>0</v>
      </c>
      <c r="D25" s="40" t="n">
        <v>0</v>
      </c>
      <c r="E25" s="41" t="n">
        <v>0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TP en fase 4 activa Q inmediatamente y acortaría la mezcla; CASE de abort con etiqueta duplicada.</t>
        </is>
      </c>
      <c r="K25" s="42" t="inlineStr">
        <is>
          <t>Comentarios y nombres correctos; fallo de estructura por CASE duplicado.</t>
        </is>
      </c>
      <c r="L25" s="42" t="inlineStr">
        <is>
          <t>T#120S mágico y lógica de aborto/fases repetida; sin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A2-2424</t>
        </is>
      </c>
      <c r="B26" s="39" t="inlineStr">
        <is>
          <t>Compila. Pasa los 25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TON estándar llamado cada ciclo con IN=(fase=4); tipos TIME correctos.</t>
        </is>
      </c>
      <c r="J26" s="42" t="inlineStr">
        <is>
          <t>Máquina de fases correcta y ELSE de seguridad a reposo; aborto y descarga coherentes.</t>
        </is>
      </c>
      <c r="K26" s="42" t="inlineStr">
        <is>
          <t>Código conciso y comentado; nombres descriptivos.</t>
        </is>
      </c>
      <c r="L26" s="42" t="inlineStr">
        <is>
          <t>Salidas centralizadas; T#120S sin constante.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A2-8499</t>
        </is>
      </c>
      <c r="B27" s="39" t="inlineStr">
        <is>
          <t>Compila. Pasa los 25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TON bien instanciado con IN=(fase=4) AND NOT abortando; flancos manuales estándar.</t>
        </is>
      </c>
      <c r="J27" s="42" t="inlineStr">
        <is>
          <t>Abort, flancos y salidas con enclavamiento; temporizador reseteado en abort y fase 0.</t>
        </is>
      </c>
      <c r="K27" s="42" t="inlineStr">
        <is>
          <t>Comentarios por sección y justificación del porqué; nombres descriptivos.</t>
        </is>
      </c>
      <c r="L27" s="42" t="inlineStr">
        <is>
          <t>Lógica centralizada y sin duplicación; T#120S no parametrizado.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A2-5655</t>
        </is>
      </c>
      <c r="B28" s="39" t="inlineStr">
        <is>
          <t>Compila. Falla 9 de 25 pasos del harness (pasos 1,2,3,4,5,6,7,8,9; numerados desde 0).</t>
        </is>
      </c>
      <c r="C28" s="41" t="n">
        <v>0</v>
      </c>
      <c r="D28" s="41" t="n">
        <v>2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Funcional 0: abort en reposo pasa a fase 5; IEC 2: compila con TON estándar y banderas manuales.</t>
        </is>
      </c>
      <c r="J28" s="42" t="inlineStr">
        <is>
          <t>Abort no se condiciona a fase&gt;0; en reposo con producto corrompe el estado y bloquea el arranque.</t>
        </is>
      </c>
      <c r="K28" s="42" t="inlineStr">
        <is>
          <t>Comentarios básicos y CASE claro; nombres descriptivos.</t>
        </is>
      </c>
      <c r="L28" s="42" t="inlineStr">
        <is>
          <t>T#120S mágico, banderas manuales y sin constantes.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A2-2376</t>
        </is>
      </c>
      <c r="B29" s="39" t="inlineStr">
        <is>
          <t>Compila. Pasa los 25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Uso idiomático de R_TRIG y TON, con T#120S y declaraciones correctas.</t>
        </is>
      </c>
      <c r="J29" s="42" t="inlineStr">
        <is>
          <t>Arranque y aborto por flanco; temporizador global y salidas por fase sin estados muertos.</t>
        </is>
      </c>
      <c r="K29" s="42" t="inlineStr">
        <is>
          <t>Código compacto y comentado por secciones; sin comentarios de variables.</t>
        </is>
      </c>
      <c r="L29" s="42" t="inlineStr">
        <is>
          <t>Salidas centralizadas; T#120S sin constante.</t>
        </is>
      </c>
      <c r="M29" s="42" t="n"/>
      <c r="N29" s="40">
        <f>IF(COUNT(C29:G29)=5,"Completa","Falta")</f>
        <v/>
      </c>
    </row>
    <row r="30"/>
  </sheetData>
  <dataValidations count="3">
    <dataValidation sqref="C10 C13 C16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8 D10:D11 D13:D14 D16 D19:D21 D23:D24 D2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A3 — Protocolo de comunicación con reintentos (Avanzado)</t>
        </is>
      </c>
    </row>
    <row r="2" ht="15" customHeight="1" s="22">
      <c r="A2" s="33" t="inlineStr">
        <is>
          <t>Lee cada respuesta por su código en respuestas/Respuestas_A3.html.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A3-3230</t>
        </is>
      </c>
      <c r="B6" s="39" t="inlineStr">
        <is>
          <t>Compila. Pasa los 15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iec: TON y T#500MS correctos; declaraciones VAR_INPUT/OUTPUT idiomáticas.</t>
        </is>
      </c>
      <c r="J6" s="42" t="inlineStr">
        <is>
          <t>Lógica de flanco y TON sin contradicciones; estado enCurso robusto.</t>
        </is>
      </c>
      <c r="K6" s="42" t="inlineStr">
        <is>
          <t>Nombres claros, secciones y comentarios breves.</t>
        </is>
      </c>
      <c r="L6" s="42" t="inlineStr">
        <is>
          <t>Valor de prueba parametrizado, pero máximo de intentos literal.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A3-6022</t>
        </is>
      </c>
      <c r="B7" s="39" t="inlineStr">
        <is>
          <t>Compila. Pasa los 15 pasos del harness.</t>
        </is>
      </c>
      <c r="C7" s="40" t="n">
        <v>3</v>
      </c>
      <c r="D7" s="41" t="n">
        <v>3</v>
      </c>
      <c r="E7" s="41" t="n">
        <v>3</v>
      </c>
      <c r="F7" s="41" t="n">
        <v>3</v>
      </c>
      <c r="G7" s="41" t="n">
        <v>3</v>
      </c>
      <c r="H7" s="40">
        <f>IF(COUNT(C7:G7)=5,SUM(C7:G7),"")</f>
        <v/>
      </c>
      <c r="I7" s="42" t="inlineStr">
        <is>
          <t>iec: TON estándar, constantes T#500MS y tipos correctos.</t>
        </is>
      </c>
      <c r="J7" s="42" t="inlineStr">
        <is>
          <t>Control de timer y flancos sin contradicciones; fin de temporizador detenido.</t>
        </is>
      </c>
      <c r="K7" s="42" t="inlineStr">
        <is>
          <t>Secciones y comentarios explicativos, nombres descriptivos.</t>
        </is>
      </c>
      <c r="L7" s="42" t="inlineStr">
        <is>
          <t>TEST_VALUE y MAX_INTENTOS como variables; cambios localizados.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A3-6512</t>
        </is>
      </c>
      <c r="B8" s="39" t="inlineStr">
        <is>
          <t>Compila. Falla 4 de 15 pasos del harness (pasos 3,4,5,9; numerados desde 0).</t>
        </is>
      </c>
      <c r="C8" s="41" t="n">
        <v>1</v>
      </c>
      <c r="D8" s="41" t="n">
        <v>3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1: arranque y eco correcto nominal, pero timer no se reinicia y falla reintentos; iec 3: R_TRIG y TON estándar con tipos correctos.</t>
        </is>
      </c>
      <c r="J8" s="42" t="inlineStr">
        <is>
          <t>resetTemp se aplica después de la llamada al TON, por lo que el reinicio es ineficaz y hay reintentos muertos.</t>
        </is>
      </c>
      <c r="K8" s="42" t="inlineStr">
        <is>
          <t>Nombres y comentarios adecuados, aunque no explican el reinicio.</t>
        </is>
      </c>
      <c r="L8" s="42" t="inlineStr">
        <is>
          <t>Literales 100 y 3 sin parametrizar; lógica de temporizador dependiente de orden.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A3-7512</t>
        </is>
      </c>
      <c r="B9" s="39" t="inlineStr">
        <is>
          <t>Compila sola, pero no se pudo simular: declara las entradas donde el harness no puede escribirlas ('txReq' no es ninguna entrada de 'FB_COM').</t>
        </is>
      </c>
      <c r="C9" s="41" t="n">
        <v>1</v>
      </c>
      <c r="D9" s="41" t="n">
        <v>1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funcional 1: esqueleto de inicio/respuesta, pero ok/error no persisten y TON no se reinicia; iec 1: entradas/salidas declaradas en VAR simple, no VAR_INPUT/OUTPUT.</t>
        </is>
      </c>
      <c r="J9" s="42" t="inlineStr">
        <is>
          <t>El bloque IF NOT ocupado resetea ok/error en reposo y el temporizador nunca baja IN, provocando secuencias incorrectas.</t>
        </is>
      </c>
      <c r="K9" s="42" t="inlineStr">
        <is>
          <t>Comentarios y nombres de variables entendibles.</t>
        </is>
      </c>
      <c r="L9" s="42" t="inlineStr">
        <is>
          <t>Valores 100 y 3 literales; sin constantes.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A3-3622</t>
        </is>
      </c>
      <c r="B10" s="39" t="inlineStr">
        <is>
          <t>Compila. Falla 4 de 15 pasos del harness (pasos 3,4,5,9; numerados desde 0).</t>
        </is>
      </c>
      <c r="C10" s="41" t="n">
        <v>1</v>
      </c>
      <c r="D10" s="41" t="n">
        <v>3</v>
      </c>
      <c r="E10" s="41" t="n">
        <v>1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funcional 1: nominal con eco correcto; falla reintentos por falta de ciclo con IN FALSE; iec 3: TON y tipos TIME estándar.</t>
        </is>
      </c>
      <c r="J10" s="42" t="inlineStr">
        <is>
          <t>timerRun se vuelve TRUE en el mismo ciclo que se intenta resetear, impidiendo reinicio del TON.</t>
        </is>
      </c>
      <c r="K10" s="42" t="inlineStr">
        <is>
          <t>Estructura ordenada y comentarios; el porqué del reset no queda claro.</t>
        </is>
      </c>
      <c r="L10" s="42" t="inlineStr">
        <is>
          <t>Usa TEST_VALUE y MAX_INT; aún depende de orden de temporizador.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A3-3184</t>
        </is>
      </c>
      <c r="B11" s="39" t="inlineStr">
        <is>
          <t>Compila. Pasa los 15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iec: R_TRIG y TON estándar, T#500MS, declaraciones correctas.</t>
        </is>
      </c>
      <c r="J11" s="42" t="inlineStr">
        <is>
          <t>Flancos y control de intentos sin contradicciones; timer se reinicia correctamente al fallar.</t>
        </is>
      </c>
      <c r="K11" s="42" t="inlineStr">
        <is>
          <t>Nombres descriptivos y comentarios adecuados.</t>
        </is>
      </c>
      <c r="L11" s="42" t="inlineStr">
        <is>
          <t>100 y 3 literales; no hay constantes para máximo ni valor.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A3-4953</t>
        </is>
      </c>
      <c r="B12" s="39" t="inlineStr">
        <is>
          <t>Compila. Pasa los 15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iec: R_TRIG y TON estándar, control timer idiomático.</t>
        </is>
      </c>
      <c r="J12" s="42" t="inlineStr">
        <is>
          <t>timerIn separa arranque/reinicio correctamente; transiciones completas.</t>
        </is>
      </c>
      <c r="K12" s="42" t="inlineStr">
        <is>
          <t>Comentarios claros y estructura lógica.</t>
        </is>
      </c>
      <c r="L12" s="42" t="inlineStr">
        <is>
          <t>Valor y máximo literales; timerIn mejora localización parcial.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A3-3351</t>
        </is>
      </c>
      <c r="B13" s="39" t="inlineStr">
        <is>
          <t>Compila. Falla 12 de 15 pasos del harness (pasos 3,4,5,6,7,8,9,10,11,12,13,14; numerados desde 0).</t>
        </is>
      </c>
      <c r="C13" s="41" t="n">
        <v>0</v>
      </c>
      <c r="D13" s="41" t="n">
        <v>3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0: falla caso nominal tras timeout y no maneja rxOk incorrecto; iec 3: TON estándar, tipos correctos.</t>
        </is>
      </c>
      <c r="J13" s="42" t="inlineStr">
        <is>
          <t>TON nunca se reinicia (Q queda activo) y rxOk incorrecto no genera transición; estados inoperantes.</t>
        </is>
      </c>
      <c r="K13" s="42" t="inlineStr">
        <is>
          <t>Nombres descriptivos y comentarios básicos.</t>
        </is>
      </c>
      <c r="L13" s="42" t="inlineStr">
        <is>
          <t>Valor de prueba como variable, pero 3 literal y sin MAX.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A3-5168</t>
        </is>
      </c>
      <c r="B14" s="39" t="inlineStr">
        <is>
          <t>Compila sola, pero no se pudo simular: declara las entradas donde el harness no puede escribirlas ('txReq' no es ninguna entrada de 'FB_COM').</t>
        </is>
      </c>
      <c r="C14" s="41" t="n">
        <v>1</v>
      </c>
      <c r="D14" s="41" t="n">
        <v>1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funcional 1: eco correcto y timeout básico, pero rxOk incorrecto no falla el intento; iec 1: TIME() extensión no estándar e interfaz VAR interna.</t>
        </is>
      </c>
      <c r="J14" s="42" t="inlineStr">
        <is>
          <t>Flujo principal coherente; falta manejo de eco incorrecto.</t>
        </is>
      </c>
      <c r="K14" s="42" t="inlineStr">
        <is>
          <t>Comentarios y constantes con nombres claros.</t>
        </is>
      </c>
      <c r="L14" s="42" t="inlineStr">
        <is>
          <t>VALOR_PRUEBA, TIEMPO_MAXIMO y MAX_INTENTOS como constantes.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A3-6493</t>
        </is>
      </c>
      <c r="B15" s="39" t="inlineStr">
        <is>
          <t>Compila. Pasa los 15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iec: R_TRIG y TON estándar; llamada al temporizador al final permite reset efectivo.</t>
        </is>
      </c>
      <c r="J15" s="42" t="inlineStr">
        <is>
          <t>resetTimer se aplica en el mismo ciclo y se limpia; interlocks de flanco correctos.</t>
        </is>
      </c>
      <c r="K15" s="42" t="inlineStr">
        <is>
          <t>Comentarios y secciones claras.</t>
        </is>
      </c>
      <c r="L15" s="42" t="inlineStr">
        <is>
          <t>100 y 3 literales; sin constantes.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A3-4439</t>
        </is>
      </c>
      <c r="B16" s="39" t="inlineStr">
        <is>
          <t>Compila. Pasa los 15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3</v>
      </c>
      <c r="H16" s="40">
        <f>IF(COUNT(C16:G16)=5,SUM(C16:G16),"")</f>
        <v/>
      </c>
      <c r="I16" s="42" t="inlineStr">
        <is>
          <t>iec: TON y T#500MS estándar; flancos manuales idiomáticos.</t>
        </is>
      </c>
      <c r="J16" s="42" t="inlineStr">
        <is>
          <t>Detección de flancos manual y TON correctamente reiniciado; sin contradicciones.</t>
        </is>
      </c>
      <c r="K16" s="42" t="inlineStr">
        <is>
          <t>Comentarios de porqué y secciones bien delimitadas.</t>
        </is>
      </c>
      <c r="L16" s="42" t="inlineStr">
        <is>
          <t>TX_VALUE y MAX_INT como constantes; sin duplicación.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A3-9003</t>
        </is>
      </c>
      <c r="B17" s="39" t="inlineStr">
        <is>
          <t>Compila. Falla 4 de 15 pasos del harness (pasos 7,8,9,10; numerados desde 0).</t>
        </is>
      </c>
      <c r="C17" s="41" t="n">
        <v>1</v>
      </c>
      <c r="D17" s="41" t="n">
        <v>3</v>
      </c>
      <c r="E17" s="41" t="n">
        <v>1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1: eco correcto sin timeout funciona; falla eco incorrecto y secuencia de timeout; iec 3: TON estándar.</t>
        </is>
      </c>
      <c r="J17" s="42" t="inlineStr">
        <is>
          <t>Llamada tTimeout(IN:=NOT tTimeout.Q) antes de evaluar Q puede inhibir la detección de timeout; rxOk incorrecto no transiciona.</t>
        </is>
      </c>
      <c r="K17" s="42" t="inlineStr">
        <is>
          <t>Nombres claros y comentarios básicos.</t>
        </is>
      </c>
      <c r="L17" s="42" t="inlineStr">
        <is>
          <t>100 y 3 literales; sin parametrización.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A3-4115</t>
        </is>
      </c>
      <c r="B18" s="39" t="inlineStr">
        <is>
          <t>Compila. Falla 10 de 15 pasos del harness (pasos 3,4,5,6,7,8,10,12,13,14; numerados desde 0).</t>
        </is>
      </c>
      <c r="C18" s="41" t="n">
        <v>0</v>
      </c>
      <c r="D18" s="41" t="n">
        <v>3</v>
      </c>
      <c r="E18" s="41" t="n">
        <v>0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funcional 0: falla caso nominal tras timeout y no maneja eco incorrecto; iec 3: TON estándar, tipos correctos.</t>
        </is>
      </c>
      <c r="J18" s="42" t="inlineStr">
        <is>
          <t>TON no resetea, Q pegado y estado inicioInt con txReq nivel crea transiciones contradictorias.</t>
        </is>
      </c>
      <c r="K18" s="42" t="inlineStr">
        <is>
          <t>Máquina de estados simple con comentarios, pero estados muertos.</t>
        </is>
      </c>
      <c r="L18" s="42" t="inlineStr">
        <is>
          <t>Valores 100/3 literales y estados numéricos difíciles de ampliar.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A3-8801</t>
        </is>
      </c>
      <c r="B19" s="39" t="inlineStr">
        <is>
          <t>Compila. Falla 9 de 15 pasos del harness (pasos 3,4,5,7,8,9,10,11,14; numerados desde 0).</t>
        </is>
      </c>
      <c r="C19" s="41" t="n">
        <v>0</v>
      </c>
      <c r="D19" s="41" t="n">
        <v>3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funcional 0: ok/error se borran en reposo y la lógica no respeta el plazo; iec 3: CASE y TON estándar.</t>
        </is>
      </c>
      <c r="J19" s="42" t="inlineStr">
        <is>
          <t>IF estado=0 borra ok/error, contradiciendo la retención; TON no resetea al reintentar.</t>
        </is>
      </c>
      <c r="K19" s="42" t="inlineStr">
        <is>
          <t>CASE con estados y comentarios, pero no explica permanencia.</t>
        </is>
      </c>
      <c r="L19" s="42" t="inlineStr">
        <is>
          <t>Literales 100 y 3; sin constantes.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A3-7866</t>
        </is>
      </c>
      <c r="B20" s="39" t="inlineStr">
        <is>
          <t>Compila. Falla 9 de 15 pasos del harness (pasos 3,4,5,7,8,9,10,11,14; numerados desde 0).</t>
        </is>
      </c>
      <c r="C20" s="41" t="n">
        <v>0</v>
      </c>
      <c r="D20" s="41" t="n">
        <v>3</v>
      </c>
      <c r="E20" s="41" t="n">
        <v>0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funcional 0: ok/error se borran en reposo y no maneja eco incorrecto; iec 3: TON y CASE estándar.</t>
        </is>
      </c>
      <c r="J20" s="42" t="inlineStr">
        <is>
          <t>Al volver a estado=0 se apagan ok/error, contradiciendo requisito; timer no reinicia.</t>
        </is>
      </c>
      <c r="K20" s="42" t="inlineStr">
        <is>
          <t>Estructura CASE clara, nombres descriptivos.</t>
        </is>
      </c>
      <c r="L20" s="42" t="inlineStr">
        <is>
          <t>Valores mágicos 100/3; poco parametrizado.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A3-1699</t>
        </is>
      </c>
      <c r="B21" s="39" t="inlineStr">
        <is>
          <t>Compila. Pasa los 15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iec: TON estándar y flanco manual; T#500MS correcto.</t>
        </is>
      </c>
      <c r="J21" s="42" t="inlineStr">
        <is>
          <t>Reinicio/arranque del TON correcto; estados de éxito/error consistentes.</t>
        </is>
      </c>
      <c r="K21" s="42" t="inlineStr">
        <is>
          <t>Secciones y comentarios explican el flujo.</t>
        </is>
      </c>
      <c r="L21" s="42" t="inlineStr">
        <is>
          <t>valorTx parametrizado, máximo de intentos literal.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A3-8606</t>
        </is>
      </c>
      <c r="B22" s="39" t="inlineStr">
        <is>
          <t>Compila. Pasa los 15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iec: R_TRIG, TON y CASE estándar; instanciación correcta.</t>
        </is>
      </c>
      <c r="J22" s="42" t="inlineStr">
        <is>
          <t>Lógica de estados y contador con límite nIntentos &gt; 3 consistente.</t>
        </is>
      </c>
      <c r="K22" s="42" t="inlineStr">
        <is>
          <t>Comentarios claros y estados documentados.</t>
        </is>
      </c>
      <c r="L22" s="42" t="inlineStr">
        <is>
          <t>100 y 3 literales; no hay constantes.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A3-8784</t>
        </is>
      </c>
      <c r="B23" s="39" t="inlineStr">
        <is>
          <t>Compila. Falla 14 de 15 pasos del harness (pasos 1,2,3,4,5,6,7,8,9,10,11,12,13,14; numerados desde 0).</t>
        </is>
      </c>
      <c r="C23" s="41" t="n">
        <v>0</v>
      </c>
      <c r="D23" s="41" t="n">
        <v>3</v>
      </c>
      <c r="E23" s="41" t="n">
        <v>0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funcional 0: TP activa Q en el flanco y evalúa rxOk sólo ahí, no espera el plazo; iec 3: TP estándar.</t>
        </is>
      </c>
      <c r="J23" s="42" t="inlineStr">
        <is>
          <t>El uso de TP hace que Q se evalúe de inmediato; la lógica de intentos no respeta 500 ms.</t>
        </is>
      </c>
      <c r="K23" s="42" t="inlineStr">
        <is>
          <t>Comentarios básicos y estados simples.</t>
        </is>
      </c>
      <c r="L23" s="42" t="inlineStr">
        <is>
          <t>Literales 100/3, sin constantes.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A3-1381</t>
        </is>
      </c>
      <c r="B24" s="39" t="inlineStr">
        <is>
          <t>Compila. Falla 14 de 15 pasos del harness (pasos 1,2,3,4,5,6,7,8,9,10,11,12,13,14; numerados desde 0).</t>
        </is>
      </c>
      <c r="C24" s="41" t="n">
        <v>0</v>
      </c>
      <c r="D24" s="41" t="n">
        <v>3</v>
      </c>
      <c r="E24" s="41" t="n">
        <v>0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funcional 0: TP activa Q en el flanco y no espera el plazo; reintento no reactiva ocupado; iec 3: TP estándar.</t>
        </is>
      </c>
      <c r="J24" s="42" t="inlineStr">
        <is>
          <t>TP Q inmediato y reintento sin ocupado:=TRUE generan estados inconsistentes.</t>
        </is>
      </c>
      <c r="K24" s="42" t="inlineStr">
        <is>
          <t>Comentarios y estados, aunque falta claridad en reintentos.</t>
        </is>
      </c>
      <c r="L24" s="42" t="inlineStr">
        <is>
          <t>Valores mágicos, sin parametrización.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A3-5401</t>
        </is>
      </c>
      <c r="B25" s="39" t="inlineStr">
        <is>
          <t>Compila sola, pero no se pudo simular: declara las entradas donde el harness no puede escribirlas ('txReq' no es ninguna entrada de 'FB_COM').</t>
        </is>
      </c>
      <c r="C25" s="41" t="n">
        <v>1</v>
      </c>
      <c r="D25" s="41" t="n">
        <v>1</v>
      </c>
      <c r="E25" s="41" t="n">
        <v>1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funcional 1: eco correcto básico; falla eco incorrecto y arranque por nivel de txReq; iec 1: TIME() extensión no estándar y VAR interna.</t>
        </is>
      </c>
      <c r="J25" s="42" t="inlineStr">
        <is>
          <t>Flujo simple coherente, pero sin flanco real y sin manejo de eco incorrecto.</t>
        </is>
      </c>
      <c r="K25" s="42" t="inlineStr">
        <is>
          <t>Comentarios y nombres de variables claros.</t>
        </is>
      </c>
      <c r="L25" s="42" t="inlineStr">
        <is>
          <t>Usa VALOR_PRUEBA y TIEMPO_MAXIMO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A3-7343</t>
        </is>
      </c>
      <c r="B26" s="39" t="inlineStr">
        <is>
          <t>Compila. Pasa los 15 pasos del harness.</t>
        </is>
      </c>
      <c r="C26" s="40" t="n">
        <v>3</v>
      </c>
      <c r="D26" s="41" t="n">
        <v>3</v>
      </c>
      <c r="E26" s="41" t="n">
        <v>3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iec: R_TRIG y TON estándar, T#500MS, declaraciones correctas.</t>
        </is>
      </c>
      <c r="J26" s="42" t="inlineStr">
        <is>
          <t>Reinicio del TON efectivo al fallar y al terminar; sin contradicciones.</t>
        </is>
      </c>
      <c r="K26" s="42" t="inlineStr">
        <is>
          <t>Comentarios claros y estructura organizada.</t>
        </is>
      </c>
      <c r="L26" s="42" t="inlineStr">
        <is>
          <t>100 y 3 literales; no hay constantes para máximo.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A3-6370</t>
        </is>
      </c>
      <c r="B27" s="39" t="inlineStr">
        <is>
          <t>Compila. Pasa los 15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iec: TON estándar, T#500MS, flanco manual idiomático.</t>
        </is>
      </c>
      <c r="J27" s="42" t="inlineStr">
        <is>
          <t>NOT activo y temporizador correctamente reseteado; todas las transiciones cubiertas.</t>
        </is>
      </c>
      <c r="K27" s="42" t="inlineStr">
        <is>
          <t>Comentarios y secciones bien definidas.</t>
        </is>
      </c>
      <c r="L27" s="42" t="inlineStr">
        <is>
          <t>txValor parametrizado; máximo de intentos literal.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A3-8583</t>
        </is>
      </c>
      <c r="B28" s="39" t="inlineStr">
        <is>
          <t>Compila. Falla 10 de 15 pasos del harness (pasos 3,4,5,6,7,8,9,12,13,14; numerados desde 0).</t>
        </is>
      </c>
      <c r="C28" s="41" t="n">
        <v>0</v>
      </c>
      <c r="D28" s="41" t="n">
        <v>3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funcional 0: falla caso nominal tras timeout y no maneja eco incorrecto; iec 3: TON estándar.</t>
        </is>
      </c>
      <c r="J28" s="42" t="inlineStr">
        <is>
          <t>TON no se reinicia (Q pegado) y rxOk incorrecto no transiciona; transiciones incompletas.</t>
        </is>
      </c>
      <c r="K28" s="42" t="inlineStr">
        <is>
          <t>Nombres descriptivos y comentarios simples.</t>
        </is>
      </c>
      <c r="L28" s="42" t="inlineStr">
        <is>
          <t>Literales 100/3, sin constantes.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A3-4983</t>
        </is>
      </c>
      <c r="B29" s="39" t="inlineStr">
        <is>
          <t>Compila. Falla 14 de 15 pasos del harness (pasos 1,2,3,4,5,6,7,8,9,10,11,12,13,14; numerados desde 0).</t>
        </is>
      </c>
      <c r="C29" s="41" t="n">
        <v>0</v>
      </c>
      <c r="D29" s="41" t="n">
        <v>3</v>
      </c>
      <c r="E29" s="41" t="n">
        <v>0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funcional 0: TP activa Q en el flanco y evalúa respuesta sólo ahí; no espera 500 ms; iec 3: TP y CASE estándar.</t>
        </is>
      </c>
      <c r="J29" s="42" t="inlineStr">
        <is>
          <t>TP Q inmediato y no limpiar ok/error al nuevo inicio contradicen el protocolo.</t>
        </is>
      </c>
      <c r="K29" s="42" t="inlineStr">
        <is>
          <t>Estados comentados, pero no explican reinicio de temporizador.</t>
        </is>
      </c>
      <c r="L29" s="42" t="inlineStr">
        <is>
          <t>Valores 100/3 literales; sin constantes.</t>
        </is>
      </c>
      <c r="M29" s="42" t="n"/>
      <c r="N29" s="40">
        <f>IF(COUNT(C29:G29)=5,"Completa","Falta")</f>
        <v/>
      </c>
    </row>
    <row r="30"/>
  </sheetData>
  <dataValidations count="3">
    <dataValidation sqref="C8:C10 C13:C14 C17:C20 C23:C25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A4 — Rampa de velocidad limitada (Avanzado)</t>
        </is>
      </c>
    </row>
    <row r="2" ht="15" customHeight="1" s="22">
      <c r="A2" s="33" t="inlineStr">
        <is>
          <t>Lee cada respuesta por su código en respuestas/Respuestas_A4.html.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A4-3724</t>
        </is>
      </c>
      <c r="B6" s="39" t="inlineStr">
        <is>
          <t>No compila (9 errores).</t>
        </is>
      </c>
      <c r="C6" s="40" t="n">
        <v>0</v>
      </c>
      <c r="D6" s="40" t="n">
        <v>0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39" t="inlineStr"/>
      <c r="J6" s="42" t="inlineStr">
        <is>
          <t>Lógica de rampa/paro coherente, pero conversión TIME inválida y lastCVvel sin inicialización explícita.</t>
        </is>
      </c>
      <c r="K6" s="42" t="inlineStr">
        <is>
          <t>Nombres descriptivos y comentarios; estructura legible.</t>
        </is>
      </c>
      <c r="L6" s="42" t="inlineStr">
        <is>
          <t>Pendientes declaradas como variables, pero conversión inline reduce robustez.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A4-4106</t>
        </is>
      </c>
      <c r="B7" s="39" t="inlineStr">
        <is>
          <t>Compila. Pasa los 13 pasos del harness.</t>
        </is>
      </c>
      <c r="C7" s="40" t="n">
        <v>3</v>
      </c>
      <c r="D7" s="41" t="n">
        <v>2</v>
      </c>
      <c r="E7" s="41" t="n">
        <v>3</v>
      </c>
      <c r="F7" s="41" t="n">
        <v>3</v>
      </c>
      <c r="G7" s="41" t="n">
        <v>2</v>
      </c>
      <c r="H7" s="40">
        <f>IF(COUNT(C7:G7)=5,SUM(C7:G7),"")</f>
        <v/>
      </c>
      <c r="I7" s="42" t="inlineStr">
        <is>
          <t>Compila sin cambios; declaraciones y conversión TIME_TO_REAL correctas, sin extensiones.</t>
        </is>
      </c>
      <c r="J7" s="42" t="inlineStr">
        <is>
          <t>Objetivo/paso centralizados y clamps que evitan sobrepaso en todos los modos.</t>
        </is>
      </c>
      <c r="K7" s="42" t="inlineStr">
        <is>
          <t>Comentarios claros, nombres descriptivos y flujo ordenado.</t>
        </is>
      </c>
      <c r="L7" s="42" t="inlineStr">
        <is>
          <t>Pendientes literales en el cuerpo; falta centralización en constantes.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A4-2094</t>
        </is>
      </c>
      <c r="B8" s="39" t="inlineStr">
        <is>
          <t>No compila (17 errores).</t>
        </is>
      </c>
      <c r="C8" s="40" t="n">
        <v>0</v>
      </c>
      <c r="D8" s="40" t="n">
        <v>0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39" t="inlineStr"/>
      <c r="J8" s="42" t="inlineStr">
        <is>
          <t>Aunque no compila por CONST mal ubicado, la lógica de rampa/paro es coherente y sin contradicciones.</t>
        </is>
      </c>
      <c r="K8" s="42" t="inlineStr">
        <is>
          <t>Excelente seccionado y comentarios; nombres descriptivos.</t>
        </is>
      </c>
      <c r="L8" s="42" t="inlineStr">
        <is>
          <t>Intenta centralizar pendientes en CONST, pero su ubicación inválida impide aprovecharlo.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A4-8650</t>
        </is>
      </c>
      <c r="B9" s="39" t="inlineStr">
        <is>
          <t>No compila (3 errores).</t>
        </is>
      </c>
      <c r="C9" s="40" t="n">
        <v>0</v>
      </c>
      <c r="D9" s="40" t="n">
        <v>0</v>
      </c>
      <c r="E9" s="41" t="n">
        <v>0</v>
      </c>
      <c r="F9" s="41" t="n">
        <v>1</v>
      </c>
      <c r="G9" s="41" t="n">
        <v>1</v>
      </c>
      <c r="H9" s="40">
        <f>IF(COUNT(C9:G9)=5,SUM(C9:G9),"")</f>
        <v/>
      </c>
      <c r="I9" s="39" t="inlineStr"/>
      <c r="J9" s="42" t="inlineStr">
        <is>
          <t>El ELSIF de clamp fija CVvel a SPvel en cada ciclo, anulando la rampa normal.</t>
        </is>
      </c>
      <c r="K9" s="42" t="inlineStr">
        <is>
          <t>Comentarios presentes, pero la lógica engañosa y nombres básicos.</t>
        </is>
      </c>
      <c r="L9" s="42" t="inlineStr">
        <is>
          <t>Requiere reescritura de la lógica de clamp; constantes no ayudan a evitar eso.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A4-8630</t>
        </is>
      </c>
      <c r="B10" s="39" t="inlineStr">
        <is>
          <t>No compila (4 errores).</t>
        </is>
      </c>
      <c r="C10" s="40" t="n">
        <v>0</v>
      </c>
      <c r="D10" s="40" t="n">
        <v>0</v>
      </c>
      <c r="E10" s="41" t="n">
        <v>2</v>
      </c>
      <c r="F10" s="41" t="n">
        <v>2</v>
      </c>
      <c r="G10" s="41" t="n">
        <v>2</v>
      </c>
      <c r="H10" s="40">
        <f>IF(COUNT(C10:G10)=5,SUM(C10:G10),"")</f>
        <v/>
      </c>
      <c r="I10" s="39" t="inlineStr"/>
      <c r="J10" s="42" t="inlineStr">
        <is>
          <t>Rampa y paro bien planteados con clamps; falla de compilación solo por REAL_TO_REAL.</t>
        </is>
      </c>
      <c r="K10" s="42" t="inlineStr">
        <is>
          <t>Comentarios breves y nombres claros.</t>
        </is>
      </c>
      <c r="L10" s="42" t="inlineStr">
        <is>
          <t>Valores de pendiente embebidos; cambios posibles pero sin constantes.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A4-5382</t>
        </is>
      </c>
      <c r="B11" s="39" t="inlineStr">
        <is>
          <t>Compila. Pasa los 13 pasos del harness.</t>
        </is>
      </c>
      <c r="C11" s="40" t="n">
        <v>3</v>
      </c>
      <c r="D11" s="41" t="n">
        <v>2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Compila sin cambios; conversión TIME_TO_DINT/DINT_TO_REAL correcta, sin extensiones.</t>
        </is>
      </c>
      <c r="J11" s="42" t="inlineStr">
        <is>
          <t>Objetivo y pasos de subida/bajada/paro coherentes, con clamps anti-sobrepaso.</t>
        </is>
      </c>
      <c r="K11" s="42" t="inlineStr">
        <is>
          <t>Muy claro, bien comentado y con nombres descriptivos.</t>
        </is>
      </c>
      <c r="L11" s="42" t="inlineStr">
        <is>
          <t>Pendientes literales, aunque centralizadas en un solo bloque de decisión.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A4-3981</t>
        </is>
      </c>
      <c r="B12" s="39" t="inlineStr">
        <is>
          <t>Compila. Pasa los 13 pasos del harness.</t>
        </is>
      </c>
      <c r="C12" s="40" t="n">
        <v>3</v>
      </c>
      <c r="D12" s="41" t="n">
        <v>2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Compila sin cambios; declaraciones correctas y TIME_TO_REAL válido.</t>
        </is>
      </c>
      <c r="J12" s="42" t="inlineStr">
        <is>
          <t>Determina objetivo y paso de forma central; sin sobrepaso.</t>
        </is>
      </c>
      <c r="K12" s="42" t="inlineStr">
        <is>
          <t>Comentarios claros y nombres descriptivos.</t>
        </is>
      </c>
      <c r="L12" s="42" t="inlineStr">
        <is>
          <t>Pendientes literales; sin constantes parametrizadas.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A4-4874</t>
        </is>
      </c>
      <c r="B13" s="39" t="inlineStr">
        <is>
          <t>No compila (12 errores).</t>
        </is>
      </c>
      <c r="C13" s="40" t="n">
        <v>0</v>
      </c>
      <c r="D13" s="40" t="n">
        <v>0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39" t="inlineStr"/>
      <c r="J13" s="42" t="inlineStr">
        <is>
          <t>Lógica normal/paro coherente con CVvel persistente; falla sintaxis por REAL(ciclo).</t>
        </is>
      </c>
      <c r="K13" s="42" t="inlineStr">
        <is>
          <t>Comentarios y nombres adecuados.</t>
        </is>
      </c>
      <c r="L13" s="42" t="inlineStr">
        <is>
          <t>Pendientes como variables inicializadas; conversión no estándar.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A4-8399</t>
        </is>
      </c>
      <c r="B14" s="39" t="inlineStr">
        <is>
          <t>No compila (4 errores).</t>
        </is>
      </c>
      <c r="C14" s="40" t="n">
        <v>0</v>
      </c>
      <c r="D14" s="40" t="n">
        <v>0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39" t="inlineStr"/>
      <c r="J14" s="42" t="inlineStr">
        <is>
          <t>Rampa/paro con clamps correctos conceptualmente; falla por REAL_TO_REAL.</t>
        </is>
      </c>
      <c r="K14" s="42" t="inlineStr">
        <is>
          <t>Comentarios breves y legibles.</t>
        </is>
      </c>
      <c r="L14" s="42" t="inlineStr">
        <is>
          <t>Pendientes literales en cada rama; cambio localizado.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A4-9812</t>
        </is>
      </c>
      <c r="B15" s="39" t="inlineStr">
        <is>
          <t>Compila. Pasa los 13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3</v>
      </c>
      <c r="H15" s="40">
        <f>IF(COUNT(C15:G15)=5,SUM(C15:G15),"")</f>
        <v/>
      </c>
      <c r="I15" s="42" t="inlineStr">
        <is>
          <t>IEC idiomático: FB correcto, VAR CONSTANT, TIME_TO_REAL; sin extensiones.</t>
        </is>
      </c>
      <c r="J15" s="42" t="inlineStr">
        <is>
          <t>Cubre paro, subida, bajada y valor negativo de CVvel sin contradicciones.</t>
        </is>
      </c>
      <c r="K15" s="42" t="inlineStr">
        <is>
          <t>Muy bien seccionado, comentado y con nombres descriptivos.</t>
        </is>
      </c>
      <c r="L15" s="42" t="inlineStr">
        <is>
          <t>Pendientes centralizadas en constantes; lógica sin duplicación.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A4-2107</t>
        </is>
      </c>
      <c r="B16" s="39" t="inlineStr">
        <is>
          <t>No compila (6 errores).</t>
        </is>
      </c>
      <c r="C16" s="40" t="n">
        <v>0</v>
      </c>
      <c r="D16" s="40" t="n">
        <v>0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39" t="inlineStr"/>
      <c r="J16" s="42" t="inlineStr">
        <is>
          <t>Usa lastCVvel inicializado y lógica de rampa/paro consistente; falla conversión REAL(TIME).</t>
        </is>
      </c>
      <c r="K16" s="42" t="inlineStr">
        <is>
          <t>Nombres descriptivos y comentarios útiles, aunque la conversión confunde.</t>
        </is>
      </c>
      <c r="L16" s="42" t="inlineStr">
        <is>
          <t>Pendientes como variables inicializadas; modificable.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A4-1899</t>
        </is>
      </c>
      <c r="B17" s="39" t="inlineStr">
        <is>
          <t>No compila (16 errores).</t>
        </is>
      </c>
      <c r="C17" s="40" t="n">
        <v>0</v>
      </c>
      <c r="D17" s="40" t="n">
        <v>0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39" t="inlineStr"/>
      <c r="J17" s="42" t="inlineStr">
        <is>
          <t>El clamp final usa SPvel incluso en paro rápido, lo que puede impedir bajar a 0 o crear saltos.</t>
        </is>
      </c>
      <c r="K17" s="42" t="inlineStr">
        <is>
          <t>Comentarios claros y nombres aceptables.</t>
        </is>
      </c>
      <c r="L17" s="42" t="inlineStr">
        <is>
          <t>Pendientes asignadas en código; centralización parcial.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A4-3900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39" t="inlineStr"/>
      <c r="J18" s="42" t="inlineStr">
        <is>
          <t>Lógica de rampa/paro sin contradicciones; falla por conversión TIME inadecuada.</t>
        </is>
      </c>
      <c r="K18" s="42" t="inlineStr">
        <is>
          <t>Comentarios y nombres claros.</t>
        </is>
      </c>
      <c r="L18" s="42" t="inlineStr">
        <is>
          <t>Pendientes literales; sin constantes.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A4-5751</t>
        </is>
      </c>
      <c r="B19" s="39" t="inlineStr">
        <is>
          <t>No compila (16 errores).</t>
        </is>
      </c>
      <c r="C19" s="40" t="n">
        <v>0</v>
      </c>
      <c r="D19" s="40" t="n">
        <v>0</v>
      </c>
      <c r="E19" s="41" t="n">
        <v>2</v>
      </c>
      <c r="F19" s="41" t="n">
        <v>2</v>
      </c>
      <c r="G19" s="41" t="n">
        <v>2</v>
      </c>
      <c r="H19" s="40">
        <f>IF(COUNT(C19:G19)=5,SUM(C19:G19),"")</f>
        <v/>
      </c>
      <c r="I19" s="39" t="inlineStr"/>
      <c r="J19" s="42" t="inlineStr">
        <is>
          <t>Lógica de rampa/paro mayormente coherente; falla conversión TIME y lastTime queda sin uso.</t>
        </is>
      </c>
      <c r="K19" s="42" t="inlineStr">
        <is>
          <t>Comentarios y nombres adecuados.</t>
        </is>
      </c>
      <c r="L19" s="42" t="inlineStr">
        <is>
          <t>Pendientes declaradas como variables; lógica modificable.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A4-5499</t>
        </is>
      </c>
      <c r="B20" s="39" t="inlineStr">
        <is>
          <t>No compila (25 errores).</t>
        </is>
      </c>
      <c r="C20" s="40" t="n">
        <v>0</v>
      </c>
      <c r="D20" s="40" t="n">
        <v>0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39" t="inlineStr"/>
      <c r="J20" s="42" t="inlineStr">
        <is>
          <t>Lógica objetivo/deltaMax/diferencia sin contradicciones y con clamps; falla compilación por nombre de variable reservado/dt.</t>
        </is>
      </c>
      <c r="K20" s="42" t="inlineStr">
        <is>
          <t>Muy bien comentado y estructurado.</t>
        </is>
      </c>
      <c r="L20" s="42" t="inlineStr">
        <is>
          <t>Pendientes literales en la lógica; sin constantes centralizadas.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A4-1758</t>
        </is>
      </c>
      <c r="B21" s="39" t="inlineStr">
        <is>
          <t>No compila (4 errores).</t>
        </is>
      </c>
      <c r="C21" s="40" t="n">
        <v>0</v>
      </c>
      <c r="D21" s="40" t="n">
        <v>0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39" t="inlineStr"/>
      <c r="J21" s="42" t="inlineStr">
        <is>
          <t>Rampa/paro conceptualmente correctos; falla por REAL_TO_REAL.</t>
        </is>
      </c>
      <c r="K21" s="42" t="inlineStr">
        <is>
          <t>Comentarios claros y nombres apropiados.</t>
        </is>
      </c>
      <c r="L21" s="42" t="inlineStr">
        <is>
          <t>Valores de pendiente embebidos; sin constantes.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A4-3118</t>
        </is>
      </c>
      <c r="B22" s="39" t="inlineStr">
        <is>
          <t>Compila. Pasa los 13 pasos del harness.</t>
        </is>
      </c>
      <c r="C22" s="40" t="n">
        <v>3</v>
      </c>
      <c r="D22" s="41" t="n">
        <v>2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Compila sin cambios; declaraciones correctas y TIME_TO_REAL válido.</t>
        </is>
      </c>
      <c r="J22" s="42" t="inlineStr">
        <is>
          <t>Maneja paro, subida, bajada y estados negativos con clamps correctos.</t>
        </is>
      </c>
      <c r="K22" s="42" t="inlineStr">
        <is>
          <t>Bien comentado y con nombres descriptivos, salvo un error tipográfico menor.</t>
        </is>
      </c>
      <c r="L22" s="42" t="inlineStr">
        <is>
          <t>Pendientes declaradas como variables inicializadas, pero sin constantes formales.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A4-5971</t>
        </is>
      </c>
      <c r="B23" s="39" t="inlineStr">
        <is>
          <t>Compila. Pasa los 13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3</v>
      </c>
      <c r="H23" s="40">
        <f>IF(COUNT(C23:G23)=5,SUM(C23:G23),"")</f>
        <v/>
      </c>
      <c r="I23" s="42" t="inlineStr">
        <is>
          <t>IEC idiomático: VAR CONSTANT, TIME_TO_REAL y lógica robusta sin extensiones.</t>
        </is>
      </c>
      <c r="J23" s="42" t="inlineStr">
        <is>
          <t>Cubre paro, subida, bajada y casos negativos sin contradicciones.</t>
        </is>
      </c>
      <c r="K23" s="42" t="inlineStr">
        <is>
          <t>Secciones, comentarios y nombres muy claros.</t>
        </is>
      </c>
      <c r="L23" s="42" t="inlineStr">
        <is>
          <t>Pendientes centralizadas en constantes; lógica limpia y sin duplicación.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A4-4944</t>
        </is>
      </c>
      <c r="B24" s="39" t="inlineStr">
        <is>
          <t>Compila. Pasa los 13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Compila; usa conversiones estándar TIME_TO_UDINT/UDINT_TO_REAL y ABS sin extensiones.</t>
        </is>
      </c>
      <c r="J24" s="42" t="inlineStr">
        <is>
          <t>Objetivo/tasa/delta centralizados; evita sobrepaso en todos los modos.</t>
        </is>
      </c>
      <c r="K24" s="42" t="inlineStr">
        <is>
          <t>Explicaciones claras, nombres descriptivos y estructura limpia.</t>
        </is>
      </c>
      <c r="L24" s="42" t="inlineStr">
        <is>
          <t>Pendientes literales en el cuerpo; falta centralización en constantes.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A4-6890</t>
        </is>
      </c>
      <c r="B25" s="39" t="inlineStr">
        <is>
          <t>No compila (4 errores).</t>
        </is>
      </c>
      <c r="C25" s="40" t="n">
        <v>0</v>
      </c>
      <c r="D25" s="40" t="n">
        <v>0</v>
      </c>
      <c r="E25" s="41" t="n">
        <v>2</v>
      </c>
      <c r="F25" s="41" t="n">
        <v>2</v>
      </c>
      <c r="G25" s="41" t="n">
        <v>2</v>
      </c>
      <c r="H25" s="40">
        <f>IF(COUNT(C25:G25)=5,SUM(C25:G25),"")</f>
        <v/>
      </c>
      <c r="I25" s="39" t="inlineStr"/>
      <c r="J25" s="42" t="inlineStr">
        <is>
          <t>Rampa/paro con clamps; falla por REAL_TO_REAL.</t>
        </is>
      </c>
      <c r="K25" s="42" t="inlineStr">
        <is>
          <t>Comentarios breves y nombres claros.</t>
        </is>
      </c>
      <c r="L25" s="42" t="inlineStr">
        <is>
          <t>Pendientes literales; sin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A4-8514</t>
        </is>
      </c>
      <c r="B26" s="39" t="inlineStr">
        <is>
          <t>No compila (4 errores).</t>
        </is>
      </c>
      <c r="C26" s="40" t="n">
        <v>0</v>
      </c>
      <c r="D26" s="40" t="n">
        <v>0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39" t="inlineStr"/>
      <c r="J26" s="42" t="inlineStr">
        <is>
          <t>Rampa/paro conceptualmente correctos; falla por REAL_TO_REAL.</t>
        </is>
      </c>
      <c r="K26" s="42" t="inlineStr">
        <is>
          <t>Comentarios y nombres adecuados.</t>
        </is>
      </c>
      <c r="L26" s="42" t="inlineStr">
        <is>
          <t>Valores de pendiente embebidos; cambios localizados.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A4-3246</t>
        </is>
      </c>
      <c r="B27" s="39" t="inlineStr">
        <is>
          <t>Compila. Pasa los 13 pasos del harness.</t>
        </is>
      </c>
      <c r="C27" s="40" t="n">
        <v>3</v>
      </c>
      <c r="D27" s="41" t="n">
        <v>2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Compila sin cambios; TIME_TO_REAL correcto y declaraciones estándar.</t>
        </is>
      </c>
      <c r="J27" s="42" t="inlineStr">
        <is>
          <t>Lógica robusta de paro/subida/bajada con clamps anti-sobrepaso.</t>
        </is>
      </c>
      <c r="K27" s="42" t="inlineStr">
        <is>
          <t>Bien comentado y estructurado; nombres descriptivos con error tipográfico menor.</t>
        </is>
      </c>
      <c r="L27" s="42" t="inlineStr">
        <is>
          <t>Pendientes como variables inicializadas; sin constantes formales.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A4-4221</t>
        </is>
      </c>
      <c r="B28" s="39" t="inlineStr">
        <is>
          <t>Compila. Pasa los 13 pasos del harness.</t>
        </is>
      </c>
      <c r="C28" s="40" t="n">
        <v>3</v>
      </c>
      <c r="D28" s="41" t="n">
        <v>2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42" t="inlineStr">
        <is>
          <t>Compila sin cambios; conversión TIME_TO_REAL y declaraciones correctas.</t>
        </is>
      </c>
      <c r="J28" s="42" t="inlineStr">
        <is>
          <t>Objetivo/paso centralizados con clamps; lógica sin contradicciones.</t>
        </is>
      </c>
      <c r="K28" s="42" t="inlineStr">
        <is>
          <t>Comentarios útiles y nombres descriptivos.</t>
        </is>
      </c>
      <c r="L28" s="42" t="inlineStr">
        <is>
          <t>Pendientes literales, no constantes centralizadas.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A4-3284</t>
        </is>
      </c>
      <c r="B29" s="39" t="inlineStr">
        <is>
          <t>Compila. Pasa los 13 pasos del harness.</t>
        </is>
      </c>
      <c r="C29" s="40" t="n">
        <v>3</v>
      </c>
      <c r="D29" s="41" t="n">
        <v>2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Compila sin cambios; TIME_TO_REAL correcto y declaraciones estándar.</t>
        </is>
      </c>
      <c r="J29" s="42" t="inlineStr">
        <is>
          <t>Maneja correctamente paro, subida, bajada y evita sobrepaso.</t>
        </is>
      </c>
      <c r="K29" s="42" t="inlineStr">
        <is>
          <t>Bien comentado y organizado; nombres descriptivos.</t>
        </is>
      </c>
      <c r="L29" s="42" t="inlineStr">
        <is>
          <t>Pendientes declaradas como variables inicializadas; sin constantes formales.</t>
        </is>
      </c>
      <c r="M29" s="42" t="n"/>
      <c r="N29" s="40">
        <f>IF(COUNT(C29:G29)=5,"Completa","Falta")</f>
        <v/>
      </c>
    </row>
    <row r="30"/>
  </sheetData>
  <dataValidations count="2">
    <dataValidation sqref="D7 D11:D12 D15 D22:D24 D27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A5 — Registro de eventos en buffer circular (Avanzado)</t>
        </is>
      </c>
    </row>
    <row r="2" ht="15" customHeight="1" s="22">
      <c r="A2" s="33" t="inlineStr">
        <is>
          <t>Lee cada respuesta por su código en respuestas/Respuestas_A5.html.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A5-1851</t>
        </is>
      </c>
      <c r="B6" s="39" t="inlineStr">
        <is>
          <t>Compila. Falla 6 de 6 pasos del harness (pasos 0,1,2,3,4,5; numerados desde 0).</t>
        </is>
      </c>
      <c r="C6" s="41" t="n">
        <v>0</v>
      </c>
      <c r="D6" s="41" t="n">
        <v>1</v>
      </c>
      <c r="E6" s="41" t="n">
        <v>1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Compila pero falla todos los pasos: índice inicial 0 y primer evento en posición 1; TYPE dentro del POU no es IEC.</t>
        </is>
      </c>
      <c r="J6" s="42" t="inlineStr">
        <is>
          <t>Falta iniciar indice/nEventos; el estado inicial no representa buffer vacío.</t>
        </is>
      </c>
      <c r="K6" s="42" t="inlineStr">
        <is>
          <t>Nombres y comentarios breves adecuados, aunque TYPE dentro del FB resta claridad.</t>
        </is>
      </c>
      <c r="L6" s="42" t="inlineStr">
        <is>
          <t>Límites 20/19 repetidos sin constantes declaradas.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A5-9329</t>
        </is>
      </c>
      <c r="B7" s="39" t="inlineStr">
        <is>
          <t>No compila (1 errores).</t>
        </is>
      </c>
      <c r="C7" s="40" t="n">
        <v>0</v>
      </c>
      <c r="D7" s="40" t="n">
        <v>0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Lógica coherente y con inicialización correcta; el error de compilación es puntual en END_STRUCT;.</t>
        </is>
      </c>
      <c r="K7" s="42" t="inlineStr">
        <is>
          <t>Declaraciones ordenadas y comentarios útiles.</t>
        </is>
      </c>
      <c r="L7" s="42" t="inlineStr">
        <is>
          <t>Tamaño de buffer y tope como literales repetidos.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A5-6029</t>
        </is>
      </c>
      <c r="B8" s="39" t="inlineStr">
        <is>
          <t>Compila. Pasa los 6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fijado 3; IEC estándar con TYPE arriba y TIME correcto.</t>
        </is>
      </c>
      <c r="J8" s="42" t="inlineStr">
        <is>
          <t>Inicialización correcta, flanco manual, avance circular y contador saturado sin contradicciones.</t>
        </is>
      </c>
      <c r="K8" s="42" t="inlineStr">
        <is>
          <t>Comentarios claros y nombres descriptivos; secciones simples.</t>
        </is>
      </c>
      <c r="L8" s="42" t="inlineStr">
        <is>
          <t>Números 20/19 repetidos; cambios de tamaño no localizados.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A5-4425</t>
        </is>
      </c>
      <c r="B9" s="39" t="inlineStr">
        <is>
          <t>Compila. Falla 6 de 6 pasos del harness (pasos 0,1,2,3,4,5; numerados desde 0).</t>
        </is>
      </c>
      <c r="C9" s="41" t="n">
        <v>0</v>
      </c>
      <c r="D9" s="41" t="n">
        <v>1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Compila pero falla todos los pasos por índice inicial 0 y rama -1 inalcanzable; TYPE dentro del POU.</t>
        </is>
      </c>
      <c r="J9" s="42" t="inlineStr">
        <is>
          <t>La rama IF indice=-1 es inalcanzable y falta inicialización efectiva de salidas.</t>
        </is>
      </c>
      <c r="K9" s="42" t="inlineStr">
        <is>
          <t>Comentarios y nombres buenos, aunque TYPE dentro del FB.</t>
        </is>
      </c>
      <c r="L9" s="42" t="inlineStr">
        <is>
          <t>Límites 20/19 sin constantes declaradas.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A5-3558</t>
        </is>
      </c>
      <c r="B10" s="39" t="inlineStr">
        <is>
          <t>No compila (3 errores).</t>
        </is>
      </c>
      <c r="C10" s="40" t="n">
        <v>0</v>
      </c>
      <c r="D10" s="40" t="n">
        <v>0</v>
      </c>
      <c r="E10" s="41" t="n">
        <v>2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Lógica con init y flanco correcta; falla de sintaxis por END_VAR_INPUT/OUTPUT.</t>
        </is>
      </c>
      <c r="K10" s="42" t="inlineStr">
        <is>
          <t>Comentarios y nombres claros, aunque // no es IEC.</t>
        </is>
      </c>
      <c r="L10" s="42" t="inlineStr">
        <is>
          <t>Límites 20/19 sin parametrizar.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A5-7727</t>
        </is>
      </c>
      <c r="B11" s="39" t="inlineStr">
        <is>
          <t>No compila (1 errores).</t>
        </is>
      </c>
      <c r="C11" s="40" t="n">
        <v>0</v>
      </c>
      <c r="D11" s="40" t="n">
        <v>0</v>
      </c>
      <c r="E11" s="41" t="n">
        <v>2</v>
      </c>
      <c r="F11" s="41" t="n">
        <v>3</v>
      </c>
      <c r="G11" s="41" t="n">
        <v>1</v>
      </c>
      <c r="H11" s="40">
        <f>IF(COUNT(C11:G11)=5,SUM(C11:G11),"")</f>
        <v/>
      </c>
      <c r="I11" s="39" t="inlineStr"/>
      <c r="J11" s="42" t="inlineStr">
        <is>
          <t>Lógica de flanco y buffer circular bien planteada; el error de compilación es puntual en TYPE.</t>
        </is>
      </c>
      <c r="K11" s="42" t="inlineStr">
        <is>
          <t>Comentarios detallados que explican decisiones y secciones claras.</t>
        </is>
      </c>
      <c r="L11" s="42" t="inlineStr">
        <is>
          <t>Constantes 20/19 duplicadas; sin parámetro de tamaño.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A5-7771</t>
        </is>
      </c>
      <c r="B12" s="39" t="inlineStr">
        <is>
          <t>Compila. Falla 6 de 6 pasos del harness (pasos 0,1,2,3,4,5; numerados desde 0).</t>
        </is>
      </c>
      <c r="C12" s="41" t="n">
        <v>0</v>
      </c>
      <c r="D12" s="41" t="n">
        <v>1</v>
      </c>
      <c r="E12" s="41" t="n">
        <v>1</v>
      </c>
      <c r="F12" s="41" t="n">
        <v>1</v>
      </c>
      <c r="G12" s="41" t="n">
        <v>1</v>
      </c>
      <c r="H12" s="40">
        <f>IF(COUNT(C12:G12)=5,SUM(C12:G12),"")</f>
        <v/>
      </c>
      <c r="I12" s="42" t="inlineStr">
        <is>
          <t>Compila pero falla: registra por nivel y no por flanco; METHOD/TYPE dentro del FB no estándar.</t>
        </is>
      </c>
      <c r="J12" s="42" t="inlineStr">
        <is>
          <t>Sin detector de flanco y con inicialización frágil; genera registros repetidos.</t>
        </is>
      </c>
      <c r="K12" s="42" t="inlineStr">
        <is>
          <t>Estructura confusa con METHOD; comentarios mínimos.</t>
        </is>
      </c>
      <c r="L12" s="42" t="inlineStr">
        <is>
          <t>Límites y posición circular implícitos, sin parámetros.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A5-3414</t>
        </is>
      </c>
      <c r="B13" s="39" t="inlineStr">
        <is>
          <t>No compila (3 errores).</t>
        </is>
      </c>
      <c r="C13" s="40" t="n">
        <v>0</v>
      </c>
      <c r="D13" s="40" t="n">
        <v>0</v>
      </c>
      <c r="E13" s="41" t="n">
        <v>2</v>
      </c>
      <c r="F13" s="41" t="n">
        <v>2</v>
      </c>
      <c r="G13" s="41" t="n">
        <v>1</v>
      </c>
      <c r="H13" s="40">
        <f>IF(COUNT(C13:G13)=5,SUM(C13:G13),"")</f>
        <v/>
      </c>
      <c r="I13" s="39" t="inlineStr"/>
      <c r="J13" s="42" t="inlineStr">
        <is>
          <t>Lógica con init y flanco correcta; falla de compilación por END_VAR_INPUT/OUTPUT.</t>
        </is>
      </c>
      <c r="K13" s="42" t="inlineStr">
        <is>
          <t>Estructura básica y nombres descriptivos, aunque usa //.</t>
        </is>
      </c>
      <c r="L13" s="42" t="inlineStr">
        <is>
          <t>Valores 20/19 literales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A5-4442</t>
        </is>
      </c>
      <c r="B14" s="39" t="inlineStr">
        <is>
          <t>No compila (1 errores).</t>
        </is>
      </c>
      <c r="C14" s="40" t="n">
        <v>0</v>
      </c>
      <c r="D14" s="40" t="n">
        <v>0</v>
      </c>
      <c r="E14" s="41" t="n">
        <v>2</v>
      </c>
      <c r="F14" s="41" t="n">
        <v>1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La lógica de registro y flanco es correcta; error de compilación por BEGIN/estructura.</t>
        </is>
      </c>
      <c r="K14" s="42" t="inlineStr">
        <is>
          <t>Comentarios claros, pero el uso de BEGIN en FB confunde la estructura.</t>
        </is>
      </c>
      <c r="L14" s="42" t="inlineStr">
        <is>
          <t>No hay constantes declaradas para el buffer.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A5-5130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Funcional fijado 3; uso idiomático de R_TRIG y TYPE arriba.</t>
        </is>
      </c>
      <c r="J15" s="42" t="inlineStr">
        <is>
          <t>Flanco estándar, init correcto y avance circular sin estados muertos.</t>
        </is>
      </c>
      <c r="K15" s="42" t="inlineStr">
        <is>
          <t>Código compacto con comentarios breves y nombres descriptivos.</t>
        </is>
      </c>
      <c r="L15" s="42" t="inlineStr">
        <is>
          <t>Tamaño 20 repetido en array y MOD; no parametrizado.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A5-3386</t>
        </is>
      </c>
      <c r="B16" s="39" t="inlineStr">
        <is>
          <t>No compila (1 errores).</t>
        </is>
      </c>
      <c r="C16" s="40" t="n">
        <v>0</v>
      </c>
      <c r="D16" s="40" t="n">
        <v>0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39" t="inlineStr"/>
      <c r="J16" s="42" t="inlineStr">
        <is>
          <t>Falta indice=-1 en vacío; la lógica de flanco y buffer es correcta.</t>
        </is>
      </c>
      <c r="K16" s="42" t="inlineStr">
        <is>
          <t>Comentarios y nombres claros, estructura legible.</t>
        </is>
      </c>
      <c r="L16" s="42" t="inlineStr">
        <is>
          <t>Números 20/19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A5-7063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fijado 3; IEC correcto con TYPE arriba y tiempo/flanco estándar.</t>
        </is>
      </c>
      <c r="J17" s="42" t="inlineStr">
        <is>
          <t>Inicialización correcta, flanco, wrap circular y saturación sin contradicciones.</t>
        </is>
      </c>
      <c r="K17" s="42" t="inlineStr">
        <is>
          <t>Pasos numerados y nombres claros; comentarios útiles.</t>
        </is>
      </c>
      <c r="L17" s="42" t="inlineStr">
        <is>
          <t>Usa 19/20 como literales; falta constante de tamaño.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A5-4556</t>
        </is>
      </c>
      <c r="B18" s="39" t="inlineStr">
        <is>
          <t>No compila (1 errores).</t>
        </is>
      </c>
      <c r="C18" s="40" t="n">
        <v>0</v>
      </c>
      <c r="D18" s="40" t="n">
        <v>0</v>
      </c>
      <c r="E18" s="41" t="n">
        <v>1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El cálculo de siguientePosicion asume indice=-1, pero indice no se inicializa; primer evento iría a 1.</t>
        </is>
      </c>
      <c r="K18" s="42" t="inlineStr">
        <is>
          <t>Comentarios extensos pero incorrectos sobre el valor inicial de indice.</t>
        </is>
      </c>
      <c r="L18" s="42" t="inlineStr">
        <is>
          <t>Límites 20/19 sin parametrizar.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A5-8849</t>
        </is>
      </c>
      <c r="B19" s="39" t="inlineStr">
        <is>
          <t>No compila (1 errores).</t>
        </is>
      </c>
      <c r="C19" s="40" t="n">
        <v>0</v>
      </c>
      <c r="D19" s="40" t="n">
        <v>0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39" t="inlineStr"/>
      <c r="J19" s="42" t="inlineStr">
        <is>
          <t>La lógica de flanco funciona; falta indice=-1 en vacío, con estado inicial inconsistente.</t>
        </is>
      </c>
      <c r="K19" s="42" t="inlineStr">
        <is>
          <t>Comentarios claros y nombres descriptivos.</t>
        </is>
      </c>
      <c r="L19" s="42" t="inlineStr">
        <is>
          <t>Tamaño 20 en array y MOD sin constante.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A5-7832</t>
        </is>
      </c>
      <c r="B20" s="39" t="inlineStr">
        <is>
          <t>Compila. Falla 6 de 6 pasos del harness (pasos 0,1,2,3,4,5; numerados desde 0).</t>
        </is>
      </c>
      <c r="C20" s="41" t="n">
        <v>0</v>
      </c>
      <c r="D20" s="41" t="n">
        <v>1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Compila pero falla: registra por nivel y mal el primer índice; METHOD/TYPE no estándar.</t>
        </is>
      </c>
      <c r="J20" s="42" t="inlineStr">
        <is>
          <t>Rama indice=-1 inalcanzable y sin flanco; la relación pos/índice queda inconsistente.</t>
        </is>
      </c>
      <c r="K20" s="42" t="inlineStr">
        <is>
          <t>Uso confuso de METHOD y comentarios mínimos.</t>
        </is>
      </c>
      <c r="L20" s="42" t="inlineStr">
        <is>
          <t>Límites sin parametrizar y lógica acoplada al estado.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A5-2051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1</v>
      </c>
      <c r="H21" s="40">
        <f>IF(COUNT(C21:G21)=5,SUM(C21:G21),"")</f>
        <v/>
      </c>
      <c r="I21" s="42" t="inlineStr">
        <is>
          <t>Funcional fijado 3; IEC estándar con TYPE arriba y flanco manual correcto.</t>
        </is>
      </c>
      <c r="J21" s="42" t="inlineStr">
        <is>
          <t>Inicialización indirecta robusta, flanco, buffer circular y contador saturado sin estados muertos.</t>
        </is>
      </c>
      <c r="K21" s="42" t="inlineStr">
        <is>
          <t>Comentarios justifican decisiones y secciones numeradas; nombres descriptivos.</t>
        </is>
      </c>
      <c r="L21" s="42" t="inlineStr">
        <is>
          <t>Tamaño 20/19 literales repetidos; sin constante declarada.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A5-8294</t>
        </is>
      </c>
      <c r="B22" s="39" t="inlineStr">
        <is>
          <t>Compila. Falla 6 de 6 pasos del harness (pasos 0,1,2,3,4,5; numerados desde 0).</t>
        </is>
      </c>
      <c r="C22" s="41" t="n">
        <v>0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Compila y usa TYPE estándar, pero falla por registrar por nivel y no inicializar indice en vacío.</t>
        </is>
      </c>
      <c r="J22" s="42" t="inlineStr">
        <is>
          <t>Falta detector de flanco; ante entrada sostenida registra eventos repetidos.</t>
        </is>
      </c>
      <c r="K22" s="42" t="inlineStr">
        <is>
          <t>Nombres y comentarios claros, estructura ordenada.</t>
        </is>
      </c>
      <c r="L22" s="42" t="inlineStr">
        <is>
          <t>Límites 20 sin constante ni localización.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A5-1206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Funcional fijado 3; R_TRIG estándar y TYPE arriba.</t>
        </is>
      </c>
      <c r="J23" s="42" t="inlineStr">
        <is>
          <t>Flanco estándar, init correcto y wrap circular sin contradicciones.</t>
        </is>
      </c>
      <c r="K23" s="42" t="inlineStr">
        <is>
          <t>Comentarios claros y código conciso.</t>
        </is>
      </c>
      <c r="L23" s="42" t="inlineStr">
        <is>
          <t>Tamaño 20 repetido y sin constante.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A5-2632</t>
        </is>
      </c>
      <c r="B24" s="39" t="inlineStr">
        <is>
          <t>No compila (1 errores).</t>
        </is>
      </c>
      <c r="C24" s="40" t="n">
        <v>0</v>
      </c>
      <c r="D24" s="40" t="n">
        <v>0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39" t="inlineStr"/>
      <c r="J24" s="42" t="inlineStr">
        <is>
          <t>Falta indice=-1 en vacío; la lógica de flanco y buffer es correcta.</t>
        </is>
      </c>
      <c r="K24" s="42" t="inlineStr">
        <is>
          <t>Comentarios y nombres descriptivos claros.</t>
        </is>
      </c>
      <c r="L24" s="42" t="inlineStr">
        <is>
          <t>Tamaño 20/19 literales sin parametrizar.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A5-6758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Funcional fijado 3; R_TRIG estándar y TYPE arriba.</t>
        </is>
      </c>
      <c r="J25" s="42" t="inlineStr">
        <is>
          <t>Inicialización correcta, flanco estándar y envoltura circular clara.</t>
        </is>
      </c>
      <c r="K25" s="42" t="inlineStr">
        <is>
          <t>Comentarios claros y nombres descriptivos.</t>
        </is>
      </c>
      <c r="L25" s="42" t="inlineStr">
        <is>
          <t>Límites 19/20 literales; cambios de tamaño no localizados.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A5-1636</t>
        </is>
      </c>
      <c r="B26" s="39" t="inlineStr">
        <is>
          <t>Compila. Pasa los 6 pasos del harness.</t>
        </is>
      </c>
      <c r="C26" s="40" t="n">
        <v>3</v>
      </c>
      <c r="D26" s="41" t="n">
        <v>2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 fijado 3; compila, pero // es extensión fuera del IEC estricto.</t>
        </is>
      </c>
      <c r="J26" s="42" t="inlineStr">
        <is>
          <t>Flanco manual correcto, init adecuado y buffer circular sin estados muertos.</t>
        </is>
      </c>
      <c r="K26" s="42" t="inlineStr">
        <is>
          <t>Comentarios numerados y nombres claros.</t>
        </is>
      </c>
      <c r="L26" s="42" t="inlineStr">
        <is>
          <t>Tamaño 19/20 literales; falta constante.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A5-2042</t>
        </is>
      </c>
      <c r="B27" s="39" t="inlineStr">
        <is>
          <t>Compila. Falla 6 de 6 pasos del harness (pasos 0,1,2,3,4,5; numerados desde 0).</t>
        </is>
      </c>
      <c r="C27" s="41" t="n">
        <v>0</v>
      </c>
      <c r="D27" s="41" t="n">
        <v>1</v>
      </c>
      <c r="E27" s="41" t="n">
        <v>1</v>
      </c>
      <c r="F27" s="41" t="n">
        <v>1</v>
      </c>
      <c r="G27" s="41" t="n">
        <v>1</v>
      </c>
      <c r="H27" s="40">
        <f>IF(COUNT(C27:G27)=5,SUM(C27:G27),"")</f>
        <v/>
      </c>
      <c r="I27" s="42" t="inlineStr">
        <is>
          <t>Compila pero falla: registra por nivel, primer índice a 1 y estructura TYPE dentro del POU no estándar.</t>
        </is>
      </c>
      <c r="J27" s="42" t="inlineStr">
        <is>
          <t>Falta flanco e inicialización de salidas; el estado de vacío es inconsistente.</t>
        </is>
      </c>
      <c r="K27" s="42" t="inlineStr">
        <is>
          <t>Estructura básica incompleta y comentarios justos.</t>
        </is>
      </c>
      <c r="L27" s="42" t="inlineStr">
        <is>
          <t>Sin constantes; lógica acoplada a literales.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A5-9447</t>
        </is>
      </c>
      <c r="B28" s="39" t="inlineStr">
        <is>
          <t>No compila (1 errores).</t>
        </is>
      </c>
      <c r="C28" s="40" t="n">
        <v>0</v>
      </c>
      <c r="D28" s="40" t="n">
        <v>0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Falta indice=-1 en vacío; lógica de flanco y buffer correcta.</t>
        </is>
      </c>
      <c r="K28" s="42" t="inlineStr">
        <is>
          <t>Comentarios claros y nombres descriptivos.</t>
        </is>
      </c>
      <c r="L28" s="42" t="inlineStr">
        <is>
          <t>Tamaño 20 sin constante.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A5-2012</t>
        </is>
      </c>
      <c r="B29" s="39" t="inlineStr">
        <is>
          <t>Compila. Falla 1 de 6 pasos del harness (pasos 0; numerados desde 0).</t>
        </is>
      </c>
      <c r="C29" s="41" t="n">
        <v>1</v>
      </c>
      <c r="D29" s="41" t="n">
        <v>3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Compila y pasa todos los pasos con eventos; falla solo el estado vacío (indice 0 en vez de -1). IEC estándar.</t>
        </is>
      </c>
      <c r="J29" s="42" t="inlineStr">
        <is>
          <t>Falta inicializar/presentar indice=-1 en vacío; el resto es coherente.</t>
        </is>
      </c>
      <c r="K29" s="42" t="inlineStr">
        <is>
          <t>Comentarios claros y estructura legible.</t>
        </is>
      </c>
      <c r="L29" s="42" t="inlineStr">
        <is>
          <t>Números 20/19 sin constantes declaradas.</t>
        </is>
      </c>
      <c r="M29" s="42" t="n"/>
      <c r="N29" s="40">
        <f>IF(COUNT(C29:G29)=5,"Completa","Falta")</f>
        <v/>
      </c>
    </row>
    <row r="30"/>
  </sheetData>
  <dataValidations count="3">
    <dataValidation sqref="C6 C9 C12 C20 C22 C27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 D8:D9 D12 D15 D17 D20:D23 D25:D27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A6 — Modos de operación jerárquicos con forzado individual (Avanzado)</t>
        </is>
      </c>
    </row>
    <row r="2" ht="15" customHeight="1" s="22">
      <c r="A2" s="33" t="inlineStr">
        <is>
          <t>Lee cada respuesta por su código en respuestas/Respuestas_A6.html.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A6-5636</t>
        </is>
      </c>
      <c r="B6" s="39" t="inlineStr">
        <is>
          <t>No compila (38 errores).</t>
        </is>
      </c>
      <c r="C6" s="40" t="n">
        <v>0</v>
      </c>
      <c r="D6" s="40" t="n">
        <v>0</v>
      </c>
      <c r="E6" s="41" t="n">
        <v>1</v>
      </c>
      <c r="F6" s="41" t="n">
        <v>2</v>
      </c>
      <c r="G6" s="41" t="n">
        <v>1</v>
      </c>
      <c r="H6" s="40">
        <f>IF(COUNT(C6:G6)=5,SUM(C6:G6),"")</f>
        <v/>
      </c>
      <c r="I6" s="39" t="inlineStr"/>
      <c r="J6" s="42" t="inlineStr">
        <is>
          <t>Modo se reinicia a manual cuando estadoSeguro está inactivo y modoAnterior no está inicializado; lógica contraria al requisito de mantener modo.</t>
        </is>
      </c>
      <c r="K6" s="42" t="inlineStr">
        <is>
          <t>Nombres descriptivos y comentarios de variables, pero sin secciones claras en la lógica.</t>
        </is>
      </c>
      <c r="L6" s="42" t="inlineStr">
        <is>
          <t>Valores 0..2 y 0..7 sin constantes; lógica con bucles duplicados y difícil de parametrizar.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A6-1663</t>
        </is>
      </c>
      <c r="B7" s="39" t="inlineStr">
        <is>
          <t>No compila (16 errores).</t>
        </is>
      </c>
      <c r="C7" s="40" t="n">
        <v>0</v>
      </c>
      <c r="D7" s="40" t="n">
        <v>0</v>
      </c>
      <c r="E7" s="41" t="n">
        <v>1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modoActivo se asigna a 1 cada ciclo, por lo que no mantiene el modo vigente ante estadoSeguro inactivo.</t>
        </is>
      </c>
      <c r="K7" s="42" t="inlineStr">
        <is>
          <t>Comentarios y nombres aceptables; estructura con bloques básicos legibles.</t>
        </is>
      </c>
      <c r="L7" s="42" t="inlineStr">
        <is>
          <t>Sin constantes ni abstracción; cambios requieren tocar varios bucles.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A6-6019</t>
        </is>
      </c>
      <c r="B8" s="39" t="inlineStr">
        <is>
          <t>No compila (32 errores).</t>
        </is>
      </c>
      <c r="C8" s="40" t="n">
        <v>0</v>
      </c>
      <c r="D8" s="40" t="n">
        <v>0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39" t="inlineStr"/>
      <c r="J8" s="42" t="inlineStr">
        <is>
          <t>La gestión de modo es mayormente coherente y mantiene pendiente; falla sobre todo por no declarar el índice de bucle y por detalles menores.</t>
        </is>
      </c>
      <c r="K8" s="42" t="inlineStr">
        <is>
          <t>Nombres claros y comentarios por variable; lógica ordenada en bloques.</t>
        </is>
      </c>
      <c r="L8" s="42" t="inlineStr">
        <is>
          <t>Valores mágicos de modos e índices sin constantes; poca abstracción.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A6-5711</t>
        </is>
      </c>
      <c r="B9" s="39" t="inlineStr">
        <is>
          <t>Compila. Pasa los 17 pasos del harness.</t>
        </is>
      </c>
      <c r="C9" s="40" t="n">
        <v>3</v>
      </c>
      <c r="D9" s="41" t="n">
        <v>2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Funcional fijado en 3; IEC: compila sin cambios y usa ST estándar, detección manual de flanco correcta aunque sin bloques estándar.</t>
        </is>
      </c>
      <c r="J9" s="42" t="inlineStr">
        <is>
          <t>Transiciones completas, inicialización en primer ciclo e interlocks de seguridad robustos.</t>
        </is>
      </c>
      <c r="K9" s="42" t="inlineStr">
        <is>
          <t>Código bien seccionado, nombres descriptivos y comentarios que explican el qué y el porqué.</t>
        </is>
      </c>
      <c r="L9" s="42" t="inlineStr">
        <is>
          <t>Lógica clara y localizable, pero literales 0..2/0..7 y bucles repetidos sin constantes.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A6-9717</t>
        </is>
      </c>
      <c r="B10" s="39" t="inlineStr">
        <is>
          <t>No compila (14 errores).</t>
        </is>
      </c>
      <c r="C10" s="40" t="n">
        <v>0</v>
      </c>
      <c r="D10" s="40" t="n">
        <v>0</v>
      </c>
      <c r="E10" s="41" t="n">
        <v>1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modoActivo se fuerza a 1 cada ciclo y forzadoActivo no se aprovecha para conservar estados.</t>
        </is>
      </c>
      <c r="K10" s="42" t="inlineStr">
        <is>
          <t>Nombres y comentarios básicos; estructura de bloques reconocible.</t>
        </is>
      </c>
      <c r="L10" s="42" t="inlineStr">
        <is>
          <t>Sin constantes y con bucles repetidos.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A6-2982</t>
        </is>
      </c>
      <c r="B11" s="39" t="inlineStr">
        <is>
          <t>Compila. Pasa los 17 pasos del harness.</t>
        </is>
      </c>
      <c r="C11" s="40" t="n">
        <v>3</v>
      </c>
      <c r="D11" s="41" t="n">
        <v>2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Funcional fijado en 3; IEC: compila sin cambios, código ST estándar con detección manual de flanco.</t>
        </is>
      </c>
      <c r="J11" s="42" t="inlineStr">
        <is>
          <t>Separación de estados forzados, flanco de seguridad y actualización por modo claras y sin estados muertos.</t>
        </is>
      </c>
      <c r="K11" s="42" t="inlineStr">
        <is>
          <t>Buenas secciones, nombres descriptivos y comentarios útiles.</t>
        </is>
      </c>
      <c r="L11" s="42" t="inlineStr">
        <is>
          <t>Cambios localizados, pero literales y bucles duplicados no parametrizados.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A6-6456</t>
        </is>
      </c>
      <c r="B12" s="39" t="inlineStr">
        <is>
          <t>No compila (36 errores).</t>
        </is>
      </c>
      <c r="C12" s="40" t="n">
        <v>0</v>
      </c>
      <c r="D12" s="40" t="n">
        <v>0</v>
      </c>
      <c r="E12" s="41" t="n">
        <v>1</v>
      </c>
      <c r="F12" s="41" t="n">
        <v>2</v>
      </c>
      <c r="G12" s="41" t="n">
        <v>1</v>
      </c>
      <c r="H12" s="40">
        <f>IF(COUNT(C12:G12)=5,SUM(C12:G12),"")</f>
        <v/>
      </c>
      <c r="I12" s="39" t="inlineStr"/>
      <c r="J12" s="42" t="inlineStr">
        <is>
          <t>confirmarForzado se evalúa por nivel y no por flanco; los forzados se borran cada ciclo, contradiciendo la retención.</t>
        </is>
      </c>
      <c r="K12" s="42" t="inlineStr">
        <is>
          <t>Variables comentadas y estructura mínima legible.</t>
        </is>
      </c>
      <c r="L12" s="42" t="inlineStr">
        <is>
          <t>Números mágicos y lógica repetida; poco extensible.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A6-4813</t>
        </is>
      </c>
      <c r="B13" s="39" t="inlineStr">
        <is>
          <t>Compila. Pasa los 17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2</v>
      </c>
      <c r="H13" s="40">
        <f>IF(COUNT(C13:G13)=5,SUM(C13:G13),"")</f>
        <v/>
      </c>
      <c r="I13" s="42" t="inlineStr">
        <is>
          <t>Funcional fijado en 3; IEC: R_TRIG bien instanciado y declaraciones estándar, sin extensiones.</t>
        </is>
      </c>
      <c r="J13" s="42" t="inlineStr">
        <is>
          <t>Aunque no conserva un array de forzado separado, la lógica directa es robusta y apaga o sobrescribe salidas en los flancos correctos.</t>
        </is>
      </c>
      <c r="K13" s="42" t="inlineStr">
        <is>
          <t>Secciones numeradas y comentarios breves pero útiles; nombres descriptivos.</t>
        </is>
      </c>
      <c r="L13" s="42" t="inlineStr">
        <is>
          <t>Duplicación de bucles y literales, sin parámetros.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A6-9389</t>
        </is>
      </c>
      <c r="B14" s="39" t="inlineStr">
        <is>
          <t>Compila. Pasa los 17 pasos del harness.</t>
        </is>
      </c>
      <c r="C14" s="40" t="n">
        <v>3</v>
      </c>
      <c r="D14" s="41" t="n">
        <v>2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Funcional fijado en 3; IEC: compila y usa ST estándar con detección manual de flanco.</t>
        </is>
      </c>
      <c r="J14" s="42" t="inlineStr">
        <is>
          <t>Secuencia de cambio, entrada y pérdida de seguridad bien cerrada; las salidas directas son seguras.</t>
        </is>
      </c>
      <c r="K14" s="42" t="inlineStr">
        <is>
          <t>Código ordenado, con comentarios por sección.</t>
        </is>
      </c>
      <c r="L14" s="42" t="inlineStr">
        <is>
          <t>Falta parametrización de modos e índices; bucles repetidos.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A6-5300</t>
        </is>
      </c>
      <c r="B15" s="39" t="inlineStr">
        <is>
          <t>Compila. Pasa los 17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Funcional fijado en 3; IEC: usa R_TRIG estándar correctamente y variables tipadas.</t>
        </is>
      </c>
      <c r="J15" s="42" t="inlineStr">
        <is>
          <t>Transiciones de modo y manejo de mantenimiento consistentes, sin estados inalcanzables.</t>
        </is>
      </c>
      <c r="K15" s="42" t="inlineStr">
        <is>
          <t>Comentarios por paso y nombres claros.</t>
        </is>
      </c>
      <c r="L15" s="42" t="inlineStr">
        <is>
          <t>Sin constantes de configuración; lógica de apagado repetida.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A6-8649</t>
        </is>
      </c>
      <c r="B16" s="39" t="inlineStr">
        <is>
          <t>Compila. Falla 6 de 17 pasos del harness (pasos 6,7,8,9,10,15; numerados desde 0).</t>
        </is>
      </c>
      <c r="C16" s="41" t="n">
        <v>1</v>
      </c>
      <c r="D16" s="41" t="n">
        <v>2</v>
      </c>
      <c r="E16" s="41" t="n">
        <v>2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Funcional: falla pasos de mantenimiento al no apagar al entrar y arrastrar salidas previas; IEC: compila y es ST estándar.</t>
        </is>
      </c>
      <c r="J16" s="42" t="inlineStr">
        <is>
          <t>Lógica de modos pendientes coherente, pero incompleta: no limpia actuadores al entrar a mantenimiento.</t>
        </is>
      </c>
      <c r="K16" s="42" t="inlineStr">
        <is>
          <t>Muy bien seccionado y comentado.</t>
        </is>
      </c>
      <c r="L16" s="42" t="inlineStr">
        <is>
          <t>Buena estructura, aunque literales y bucles repetidos.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A6-1068</t>
        </is>
      </c>
      <c r="B17" s="39" t="inlineStr">
        <is>
          <t>Compila. Pasa los 17 pasos del harness.</t>
        </is>
      </c>
      <c r="C17" s="40" t="n">
        <v>3</v>
      </c>
      <c r="D17" s="41" t="n">
        <v>2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Funcional fijado en 3; IEC: ST estándar con flanco manual correctamente implementado.</t>
        </is>
      </c>
      <c r="J17" s="42" t="inlineStr">
        <is>
          <t>Estado forzado separado y flancos bien definidos; lógica robusta ante pérdida de seguridad.</t>
        </is>
      </c>
      <c r="K17" s="42" t="inlineStr">
        <is>
          <t>Secciones claras y comentarios que explican la intención.</t>
        </is>
      </c>
      <c r="L17" s="42" t="inlineStr">
        <is>
          <t>Buena localización, pero faltan constantes para modos y tamaños.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A6-5359</t>
        </is>
      </c>
      <c r="B18" s="39" t="inlineStr">
        <is>
          <t>No compila (1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El método no puede ejecutarse y el cambio de modo depende del selector sin estadoSeguro; contradice el requisito central.</t>
        </is>
      </c>
      <c r="K18" s="42" t="inlineStr">
        <is>
          <t>Nombres aceptables, pero METHOD dentro del FB y la llamada fuera de lugar rompen la estructura.</t>
        </is>
      </c>
      <c r="L18" s="42" t="inlineStr">
        <is>
          <t>Valores mágicos y lógica acoplada; no parametrizada.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A6-2630</t>
        </is>
      </c>
      <c r="B19" s="39" t="inlineStr">
        <is>
          <t>Compila. Pasa los 17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Funcional fijado en 3; IEC: R_TRIG estándar y declaraciones correctas.</t>
        </is>
      </c>
      <c r="J19" s="42" t="inlineStr">
        <is>
          <t>Lógica directa sin contradicciones; entrada y salida de mantenimiento se comportan de forma segura.</t>
        </is>
      </c>
      <c r="K19" s="42" t="inlineStr">
        <is>
          <t>Secciones numeradas y nota explicativa útil.</t>
        </is>
      </c>
      <c r="L19" s="42" t="inlineStr">
        <is>
          <t>Sin duplicación excesiva, pero literales y bucles sin parámetros.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A6-5020</t>
        </is>
      </c>
      <c r="B20" s="39" t="inlineStr">
        <is>
          <t>No compila (32 errores).</t>
        </is>
      </c>
      <c r="C20" s="40" t="n">
        <v>0</v>
      </c>
      <c r="D20" s="40" t="n">
        <v>0</v>
      </c>
      <c r="E20" s="41" t="n">
        <v>0</v>
      </c>
      <c r="F20" s="41" t="n">
        <v>2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modoActivo no se inicializa y solo se asigna con estadoSeguro activo; arranque incorrecto en caso nominal.</t>
        </is>
      </c>
      <c r="K20" s="42" t="inlineStr">
        <is>
          <t>Comentarios y nombres claros, aunque sin secciones.</t>
        </is>
      </c>
      <c r="L20" s="42" t="inlineStr">
        <is>
          <t>Valores mágicos y bucles dispersos; poca capacidad de cambio.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A6-1266</t>
        </is>
      </c>
      <c r="B21" s="39" t="inlineStr">
        <is>
          <t>Compila. Pasa los 17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Funcional fijado en 3; IEC: compila con // como comentario y flanco manual, tipos correctos.</t>
        </is>
      </c>
      <c r="J21" s="42" t="inlineStr">
        <is>
          <t>Lógica completa: limpia al entrar a mantenimiento y la salida directa se sobrescribe al salir.</t>
        </is>
      </c>
      <c r="K21" s="42" t="inlineStr">
        <is>
          <t>Código legible aunque con comentarios más escuetos; nombres correctos.</t>
        </is>
      </c>
      <c r="L21" s="42" t="inlineStr">
        <is>
          <t>Sin constantes ni aislamiento de parámetros.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A6-3215</t>
        </is>
      </c>
      <c r="B22" s="39" t="inlineStr">
        <is>
          <t>No compila (22 errores).</t>
        </is>
      </c>
      <c r="C22" s="40" t="n">
        <v>0</v>
      </c>
      <c r="D22" s="40" t="n">
        <v>0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39" t="inlineStr"/>
      <c r="J22" s="42" t="inlineStr">
        <is>
          <t>modoActivo sin inicializar y solo actualizado con estadoSeguro; en arranque no entra en manual.</t>
        </is>
      </c>
      <c r="K22" s="42" t="inlineStr">
        <is>
          <t>Variables comentadas y estructura básica.</t>
        </is>
      </c>
      <c r="L22" s="42" t="inlineStr">
        <is>
          <t>Números mágicos y lógica repetida.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A6-5385</t>
        </is>
      </c>
      <c r="B23" s="39" t="inlineStr">
        <is>
          <t>Compila. Falla 6 de 17 pasos del harness (pasos 6,7,8,9,10,15; numerados desde 0).</t>
        </is>
      </c>
      <c r="C23" s="41" t="n">
        <v>1</v>
      </c>
      <c r="D23" s="41" t="n">
        <v>2</v>
      </c>
      <c r="E23" s="41" t="n">
        <v>2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Funcional: no apaga al entrar a mantenimiento y falla pasos de forzado; IEC: ST estándar con flanco manual.</t>
        </is>
      </c>
      <c r="J23" s="42" t="inlineStr">
        <is>
          <t>Lógica de modos consistente, pero falta inicialización de salidas en la entrada a mantenimiento.</t>
        </is>
      </c>
      <c r="K23" s="42" t="inlineStr">
        <is>
          <t>Bien seccionada y comentada.</t>
        </is>
      </c>
      <c r="L23" s="42" t="inlineStr">
        <is>
          <t>Buena organización, aunque sin constantes.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A6-5870</t>
        </is>
      </c>
      <c r="B24" s="39" t="inlineStr">
        <is>
          <t>No compila (32 errores).</t>
        </is>
      </c>
      <c r="C24" s="40" t="n">
        <v>0</v>
      </c>
      <c r="D24" s="40" t="n">
        <v>0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39" t="inlineStr"/>
      <c r="J24" s="42" t="inlineStr">
        <is>
          <t>modoActivo y modoPendiente se reinician a 1 cada ciclo, impidiendo mantener el modo ante seguridad inactiva.</t>
        </is>
      </c>
      <c r="K24" s="42" t="inlineStr">
        <is>
          <t>Comentarios por variable y bloques básicos legibles.</t>
        </is>
      </c>
      <c r="L24" s="42" t="inlineStr">
        <is>
          <t>Sin parametrización y con lógica repetida.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A6-8625</t>
        </is>
      </c>
      <c r="B25" s="39" t="inlineStr">
        <is>
          <t>Compila. Pasa los 17 pasos del harness.</t>
        </is>
      </c>
      <c r="C25" s="40" t="n">
        <v>3</v>
      </c>
      <c r="D25" s="41" t="n">
        <v>2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Funcional fijado en 3; IEC: compila y usa ST con detección manual de flanco; // como comentario no es IEC puro.</t>
        </is>
      </c>
      <c r="J25" s="42" t="inlineStr">
        <is>
          <t>Transiciones, flancos y retención coherentes; no hay estados muertos.</t>
        </is>
      </c>
      <c r="K25" s="42" t="inlineStr">
        <is>
          <t>Buenas secciones numeradas y comentarios útiles.</t>
        </is>
      </c>
      <c r="L25" s="42" t="inlineStr">
        <is>
          <t>Sin constantes de modos/índices y con bucles duplicados.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A6-4100</t>
        </is>
      </c>
      <c r="B26" s="39" t="inlineStr">
        <is>
          <t>No compila (1 errores).</t>
        </is>
      </c>
      <c r="C26" s="40" t="n">
        <v>0</v>
      </c>
      <c r="D26" s="40" t="n">
        <v>0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El código dentro de METHOD no se ejecuta; además el selector cambia modoActivo sin estadoSeguro.</t>
        </is>
      </c>
      <c r="K26" s="42" t="inlineStr">
        <is>
          <t>Comentarios y nombres existen, pero METHOD en FB rompe la estructura estándar.</t>
        </is>
      </c>
      <c r="L26" s="42" t="inlineStr">
        <is>
          <t>Valores mágicos y lógica acoplada; difícil de modificar.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A6-4942</t>
        </is>
      </c>
      <c r="B27" s="39" t="inlineStr">
        <is>
          <t>No compila (36 errores).</t>
        </is>
      </c>
      <c r="C27" s="40" t="n">
        <v>0</v>
      </c>
      <c r="D27" s="40" t="n">
        <v>0</v>
      </c>
      <c r="E27" s="41" t="n">
        <v>1</v>
      </c>
      <c r="F27" s="41" t="n">
        <v>2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La lógica de modo es simple, pero confirmarForzado por nivel y el borrado por ciclo anulan la retención.</t>
        </is>
      </c>
      <c r="K27" s="42" t="inlineStr">
        <is>
          <t>Variables comentadas y estructura comprensible.</t>
        </is>
      </c>
      <c r="L27" s="42" t="inlineStr">
        <is>
          <t>Sin constantes y lógica de limpieza repetida.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A6-1659</t>
        </is>
      </c>
      <c r="B28" s="39" t="inlineStr">
        <is>
          <t>No compila (34 errores).</t>
        </is>
      </c>
      <c r="C28" s="40" t="n">
        <v>0</v>
      </c>
      <c r="D28" s="40" t="n">
        <v>0</v>
      </c>
      <c r="E28" s="41" t="n">
        <v>2</v>
      </c>
      <c r="F28" s="41" t="n">
        <v>2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Máquina de modos coherente; sin embargo confirmarForzado no es por flanco y el array forzado no conserva la salida.</t>
        </is>
      </c>
      <c r="K28" s="42" t="inlineStr">
        <is>
          <t>Comentarios en variables y secciones mínimas.</t>
        </is>
      </c>
      <c r="L28" s="42" t="inlineStr">
        <is>
          <t>Sin constantes y con lógica repetida.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A6-6945</t>
        </is>
      </c>
      <c r="B29" s="39" t="inlineStr">
        <is>
          <t>Compila. Falla 6 de 17 pasos del harness (pasos 6,7,8,9,10,15; numerados desde 0).</t>
        </is>
      </c>
      <c r="C29" s="41" t="n">
        <v>1</v>
      </c>
      <c r="D29" s="41" t="n">
        <v>2</v>
      </c>
      <c r="E29" s="41" t="n">
        <v>2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Funcional: falla pasos de mantenimiento al no apagar al entrar y arrastrar salidas previas; IEC: ST estándar con flanco manual.</t>
        </is>
      </c>
      <c r="J29" s="42" t="inlineStr">
        <is>
          <t>Gestión de pendientes clara, pero incompleta en la entrada a mantenimiento.</t>
        </is>
      </c>
      <c r="K29" s="42" t="inlineStr">
        <is>
          <t>Estructura muy clara y comentada.</t>
        </is>
      </c>
      <c r="L29" s="42" t="inlineStr">
        <is>
          <t>Bien localizado, aunque sin constantes.</t>
        </is>
      </c>
      <c r="M29" s="42" t="n"/>
      <c r="N29" s="40">
        <f>IF(COUNT(C29:G29)=5,"Completa","Falta")</f>
        <v/>
      </c>
    </row>
    <row r="30"/>
  </sheetData>
  <dataValidations count="3">
    <dataValidation sqref="C16 C23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9 D11 D13:D17 D19 D21 D23 D25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C3 — Conversión Ladder a ST (Complementaria)</t>
        </is>
      </c>
    </row>
    <row r="2" ht="15" customHeight="1" s="22">
      <c r="A2" s="33" t="inlineStr">
        <is>
          <t>Lee cada respuesta por su código en respuestas/Respuestas_C3.html.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C3-2896</t>
        </is>
      </c>
      <c r="B6" s="39" t="inlineStr">
        <is>
          <t>Compila sola, pero no se pudo simular: declara las entradas donde el harness no puede escribirlas ('btnMarcha' no es ninguna entrada de 'PRG_Conversion').</t>
        </is>
      </c>
      <c r="C6" s="41" t="n">
        <v>2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y la lógica es correcta, pero declara E/S en VAR local y no se pudo simular.</t>
        </is>
      </c>
      <c r="J6" s="42" t="inlineStr">
        <is>
          <t>Sin contradicciones; arranque, enclavamiento y paro coherentes.</t>
        </is>
      </c>
      <c r="K6" s="42" t="inlineStr">
        <is>
          <t>Nombres descriptivos y comentarios básicos, aunque estructura plana.</t>
        </is>
      </c>
      <c r="L6" s="42" t="inlineStr">
        <is>
          <t>Tiempo T#10S en un único punto, pero sin constantes declaradas.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C3-6882</t>
        </is>
      </c>
      <c r="B7" s="39" t="inlineStr">
        <is>
          <t>Compila sola, pero no se pudo simular: declara las entradas donde el harness no puede escribirlas ('btnMarcha' no es ninguna entrada de 'PRG_Conversion').</t>
        </is>
      </c>
      <c r="C7" s="41" t="n">
        <v>2</v>
      </c>
      <c r="D7" s="41" t="n">
        <v>2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Compila y la lógica es correcta, pero declara E/S en VAR local y no se pudo simular.</t>
        </is>
      </c>
      <c r="J7" s="42" t="inlineStr">
        <is>
          <t>Lógica sin contradicciones y transiciones completas.</t>
        </is>
      </c>
      <c r="K7" s="42" t="inlineStr">
        <is>
          <t>Comentarios útiles y nombres claros, estructura lineal sencilla.</t>
        </is>
      </c>
      <c r="L7" s="42" t="inlineStr">
        <is>
          <t>Cambio de tiempo localizado, pero sin parametrizar.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C3-5764</t>
        </is>
      </c>
      <c r="B8" s="39" t="inlineStr">
        <is>
          <t>Compila. Pasa los 11 pasos del harness.</t>
        </is>
      </c>
      <c r="C8" s="40" t="n">
        <v>3</v>
      </c>
      <c r="D8" s="41" t="n">
        <v>3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42" t="inlineStr">
        <is>
          <t>Pasa el harness; usa VAR_INPUT/OUTPUT y TON estándar con T#10S.</t>
        </is>
      </c>
      <c r="J8" s="42" t="inlineStr">
        <is>
          <t>Interlocks completos; paro gana ante marcha y paro simultáneos.</t>
        </is>
      </c>
      <c r="K8" s="42" t="inlineStr">
        <is>
          <t>Secciones comentadas y correspondencia clara con ramas Ladder.</t>
        </is>
      </c>
      <c r="L8" s="42" t="inlineStr">
        <is>
          <t>Tiempo en un único lugar, aunque sin constante declarada.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C3-5896</t>
        </is>
      </c>
      <c r="B9" s="39" t="inlineStr">
        <is>
          <t>Compila. Pasa los 11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Pasa el harness; usa E/S formales y TON idiomático.</t>
        </is>
      </c>
      <c r="J9" s="42" t="inlineStr">
        <is>
          <t>Sin estados muertos ni contradicciones; reset del temporizador correcto.</t>
        </is>
      </c>
      <c r="K9" s="42" t="inlineStr">
        <is>
          <t>Comentarios por rama, nombres descriptivos y orden claro.</t>
        </is>
      </c>
      <c r="L9" s="42" t="inlineStr">
        <is>
          <t>Cambios localizados, aunque T#10S no está parametrizado.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C3-2206</t>
        </is>
      </c>
      <c r="B10" s="39" t="inlineStr">
        <is>
          <t>Compila. Pasa los 11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Pasa el harness; POU y declaraciones IEC correctas, TON idiomático.</t>
        </is>
      </c>
      <c r="J10" s="42" t="inlineStr">
        <is>
          <t>Lógica robusta con auto-retención y paro prioritario.</t>
        </is>
      </c>
      <c r="K10" s="42" t="inlineStr">
        <is>
          <t>Comentarios breves y estructura por ramas muy legible.</t>
        </is>
      </c>
      <c r="L10" s="42" t="inlineStr">
        <is>
          <t>Sin duplicación de lógica; tiempo queda fijo en una línea.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C3-8154</t>
        </is>
      </c>
      <c r="B11" s="39" t="inlineStr">
        <is>
          <t>Compila. Pasa los 11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Pasa el harness; uso idiomático de VAR_INPUT/OUTPUT, TON y T#10S.</t>
        </is>
      </c>
      <c r="J11" s="42" t="inlineStr">
        <is>
          <t>Comportamiento seguro ante arranque, paro y simultaneidad.</t>
        </is>
      </c>
      <c r="K11" s="42" t="inlineStr">
        <is>
          <t>Bloques separados con comentarios que explican la lógica.</t>
        </is>
      </c>
      <c r="L11" s="42" t="inlineStr">
        <is>
          <t>Modificación localizada, sin constantes globales.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C3-6261</t>
        </is>
      </c>
      <c r="B12" s="39" t="inlineStr">
        <is>
          <t>Compila. Pasa los 11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Pasa el harness; TON y tipos estándar bien usados.</t>
        </is>
      </c>
      <c r="J12" s="42" t="inlineStr">
        <is>
          <t>Enclavamiento y paro correctos, sin estados inalcanzables.</t>
        </is>
      </c>
      <c r="K12" s="42" t="inlineStr">
        <is>
          <t>Mapeo Ladder-ST explícito y comentarios útiles.</t>
        </is>
      </c>
      <c r="L12" s="42" t="inlineStr">
        <is>
          <t>Tiempo localizado; levemente parametrizado.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C3-3977</t>
        </is>
      </c>
      <c r="B13" s="39" t="inlineStr">
        <is>
          <t>Compila sola, pero no se pudo simular: declara las entradas donde el harness no puede escribirlas ('btnMarcha' no es ninguna entrada de 'PRG_Conversion').</t>
        </is>
      </c>
      <c r="C13" s="41" t="n">
        <v>0</v>
      </c>
      <c r="D13" s="41" t="n">
        <v>2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Compila, pero omite NOT en btnParo y declara E/S en VAR local; falla arranque.</t>
        </is>
      </c>
      <c r="J13" s="42" t="inlineStr">
        <is>
          <t>La interpretación del contacto NC es invertida, aunque el resto es coherente.</t>
        </is>
      </c>
      <c r="K13" s="42" t="inlineStr">
        <is>
          <t>Estructura básica y comentarios, pero no evita el error conceptual.</t>
        </is>
      </c>
      <c r="L13" s="42" t="inlineStr">
        <is>
          <t>Corrección requiere tocar condición central y la interfaz.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C3-3323</t>
        </is>
      </c>
      <c r="B14" s="39" t="inlineStr">
        <is>
          <t>Compila. Pasa los 11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Pasa el harness; TON y T#10S idiomáticos con E/S formales.</t>
        </is>
      </c>
      <c r="J14" s="42" t="inlineStr">
        <is>
          <t>Auto-retención y paro completos; temporizador se resetea al parar.</t>
        </is>
      </c>
      <c r="K14" s="42" t="inlineStr">
        <is>
          <t>Ramas comentadas, nombres descriptivos y orden claro.</t>
        </is>
      </c>
      <c r="L14" s="42" t="inlineStr">
        <is>
          <t>Sin duplicación; tiempo fijo en un único punto.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C3-8076</t>
        </is>
      </c>
      <c r="B15" s="39" t="inlineStr">
        <is>
          <t>Compila. Pasa los 11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Pasa el harness; uso idiomático de TON, E/S y T#10S.</t>
        </is>
      </c>
      <c r="J15" s="42" t="inlineStr">
        <is>
          <t>Lógica de enclavamiento robusta y sin condiciones muertas.</t>
        </is>
      </c>
      <c r="K15" s="42" t="inlineStr">
        <is>
          <t>Comentarios por rama y variables bien nombradas.</t>
        </is>
      </c>
      <c r="L15" s="42" t="inlineStr">
        <is>
          <t>Modificable con cambios localizados, aunque sin FB reutilizable.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C3-1695</t>
        </is>
      </c>
      <c r="B16" s="39" t="inlineStr">
        <is>
          <t>Compila. Pasa los 11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Pasa el harness; TON y E/S declarados de forma idiomática.</t>
        </is>
      </c>
      <c r="J16" s="42" t="inlineStr">
        <is>
          <t>Arranque, retención, paro y temporización coherentes.</t>
        </is>
      </c>
      <c r="K16" s="42" t="inlineStr">
        <is>
          <t>Comentarios por rama y estructura ordenada.</t>
        </is>
      </c>
      <c r="L16" s="42" t="inlineStr">
        <is>
          <t>Lógica simple, pero T#10S no está parametrizado.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C3-2623</t>
        </is>
      </c>
      <c r="B17" s="39" t="inlineStr">
        <is>
          <t>Compila sola, pero no se pudo simular: declara las entradas donde el harness no puede escribirlas ('btnMarcha' no es ninguna entrada de 'PRG_Conversion').</t>
        </is>
      </c>
      <c r="C17" s="41" t="n">
        <v>2</v>
      </c>
      <c r="D17" s="41" t="n">
        <v>2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Compila y la lógica es correcta, pero declara E/S en VAR local; no se pudo simular.</t>
        </is>
      </c>
      <c r="J17" s="42" t="inlineStr">
        <is>
          <t>Sin contradicciones y con transiciones correctas.</t>
        </is>
      </c>
      <c r="K17" s="42" t="inlineStr">
        <is>
          <t>Nombres descriptivos y comentarios básicos, estructura plana.</t>
        </is>
      </c>
      <c r="L17" s="42" t="inlineStr">
        <is>
          <t>Tiempo en un único lugar, sin constante global.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C3-8055</t>
        </is>
      </c>
      <c r="B18" s="39" t="inlineStr">
        <is>
          <t>Compila. Pasa los 11 pasos del harness.</t>
        </is>
      </c>
      <c r="C18" s="40" t="n">
        <v>3</v>
      </c>
      <c r="D18" s="41" t="n">
        <v>3</v>
      </c>
      <c r="E18" s="41" t="n">
        <v>3</v>
      </c>
      <c r="F18" s="41" t="n">
        <v>3</v>
      </c>
      <c r="G18" s="41" t="n">
        <v>2</v>
      </c>
      <c r="H18" s="40">
        <f>IF(COUNT(C18:G18)=5,SUM(C18:G18),"")</f>
        <v/>
      </c>
      <c r="I18" s="42" t="inlineStr">
        <is>
          <t>Pasa el harness; E/S formales y TON estándar.</t>
        </is>
      </c>
      <c r="J18" s="42" t="inlineStr">
        <is>
          <t>Lógica de auto-retención coherente y paro prioritario.</t>
        </is>
      </c>
      <c r="K18" s="42" t="inlineStr">
        <is>
          <t>Ramas numeradas y comentarios claros.</t>
        </is>
      </c>
      <c r="L18" s="42" t="inlineStr">
        <is>
          <t>Sin duplicación; cambios localizados.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C3-2360</t>
        </is>
      </c>
      <c r="B19" s="39" t="inlineStr">
        <is>
          <t>Compila. Pasa los 11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Pasa el harness; TON con T#10S y E/S bien declarados.</t>
        </is>
      </c>
      <c r="J19" s="42" t="inlineStr">
        <is>
          <t>Enclavamiento y temporización robustos, sin estados muertos.</t>
        </is>
      </c>
      <c r="K19" s="42" t="inlineStr">
        <is>
          <t>Comentarios explican el porqué y cada rama.</t>
        </is>
      </c>
      <c r="L19" s="42" t="inlineStr">
        <is>
          <t>Tiempo localizado; sin parametrización global.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C3-9536</t>
        </is>
      </c>
      <c r="B20" s="39" t="inlineStr">
        <is>
          <t>Compila. Pasa los 11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Pasa el harness; uso idiomático de VAR_INPUT/OUTPUT y TON.</t>
        </is>
      </c>
      <c r="J20" s="42" t="inlineStr">
        <is>
          <t>Condiciones completas; paro reinicia temporizador.</t>
        </is>
      </c>
      <c r="K20" s="42" t="inlineStr">
        <is>
          <t>Separación por ramas con comentarios explicativos.</t>
        </is>
      </c>
      <c r="L20" s="42" t="inlineStr">
        <is>
          <t>Cambios localizados, aunque T#10S no es constante.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C3-2155</t>
        </is>
      </c>
      <c r="B21" s="39" t="inlineStr">
        <is>
          <t>Compila sola, pero no se pudo simular: declara las entradas donde el harness no puede escribirlas ('btnMarcha' no es ninguna entrada de 'PRG_Conversion').</t>
        </is>
      </c>
      <c r="C21" s="41" t="n">
        <v>2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Compila y la lógica es correcta, pero usa VAR local en vez de E/S; no se pudo simular.</t>
        </is>
      </c>
      <c r="J21" s="42" t="inlineStr">
        <is>
          <t>Lógica sin contradicciones y con reset correcto.</t>
        </is>
      </c>
      <c r="K21" s="42" t="inlineStr">
        <is>
          <t>Estructura simple y nombres claros, comentarios básicos.</t>
        </is>
      </c>
      <c r="L21" s="42" t="inlineStr">
        <is>
          <t>Tiempo en una única ubicación, sin constantes.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C3-1446</t>
        </is>
      </c>
      <c r="B22" s="39" t="inlineStr">
        <is>
          <t>Compila. Pasa los 11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Pasa el harness; TON y E/S declarados idiomáticamente.</t>
        </is>
      </c>
      <c r="J22" s="42" t="inlineStr">
        <is>
          <t>Enclavamiento robusto y temporización correcta.</t>
        </is>
      </c>
      <c r="K22" s="42" t="inlineStr">
        <is>
          <t>Comentarios por rama y nombres descriptivos.</t>
        </is>
      </c>
      <c r="L22" s="42" t="inlineStr">
        <is>
          <t>Cambios localizados, aunque sin constantes declaradas.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C3-8015</t>
        </is>
      </c>
      <c r="B23" s="39" t="inlineStr">
        <is>
          <t>Compila. Pasa los 11 pasos del harness.</t>
        </is>
      </c>
      <c r="C23" s="40" t="n">
        <v>3</v>
      </c>
      <c r="D23" s="41" t="n">
        <v>2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Pasa el harness, pero usa IF para el TON en lugar de asignación directa; menos idiomático.</t>
        </is>
      </c>
      <c r="J23" s="42" t="inlineStr">
        <is>
          <t>Comportamiento correcto en arranque, paro y simultaneidad.</t>
        </is>
      </c>
      <c r="K23" s="42" t="inlineStr">
        <is>
          <t>Claro pero verboso; la llamada del temporizador en IF es redundante.</t>
        </is>
      </c>
      <c r="L23" s="42" t="inlineStr">
        <is>
          <t>Cambio localizado, sin duplicación relevante.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C3-9667</t>
        </is>
      </c>
      <c r="B24" s="39" t="inlineStr">
        <is>
          <t>Compila sola, pero no se pudo simular: declara las entradas donde el harness no puede escribirlas ('btnMarcha' no es ninguna entrada de 'PRG_Conversion').</t>
        </is>
      </c>
      <c r="C24" s="41" t="n">
        <v>0</v>
      </c>
      <c r="D24" s="41" t="n">
        <v>2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Compila, pero omite NOT en btnParo y usa VAR local; falla el arranque.</t>
        </is>
      </c>
      <c r="J24" s="42" t="inlineStr">
        <is>
          <t>El contacto NC está interpretado invertido; lógica mayormente coherente pero incorrecta.</t>
        </is>
      </c>
      <c r="K24" s="42" t="inlineStr">
        <is>
          <t>Estructura básica con comentarios, aunque el error conceptual persiste.</t>
        </is>
      </c>
      <c r="L24" s="42" t="inlineStr">
        <is>
          <t>Corrección exige tocar la interfaz y la condición central.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C3-1285</t>
        </is>
      </c>
      <c r="B25" s="39" t="inlineStr">
        <is>
          <t>Compila. Falla 2 de 11 pasos del harness (pasos 3,9; numerados desde 0).</t>
        </is>
      </c>
      <c r="C25" s="41" t="n">
        <v>0</v>
      </c>
      <c r="D25" s="41" t="n">
        <v>2</v>
      </c>
      <c r="E25" s="41" t="n">
        <v>0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Compila pero falla encendido de lámpara; doble llamada al TON poco idiomática.</t>
        </is>
      </c>
      <c r="J25" s="42" t="inlineStr">
        <is>
          <t>Doble llamada con IN:=FALSE cuando Q es FALSE impide que el temporizador avance.</t>
        </is>
      </c>
      <c r="K25" s="42" t="inlineStr">
        <is>
          <t>Nombres y comentarios presentes, pero la lógica del temporizador es confusa.</t>
        </is>
      </c>
      <c r="L25" s="42" t="inlineStr">
        <is>
          <t>Corregir el TON obliga a entender una secuencia no obvia.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C3-2752</t>
        </is>
      </c>
      <c r="B26" s="39" t="inlineStr">
        <is>
          <t>Compila. Falla 2 de 11 pasos del harness (pasos 3,9;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Compila pero falla encendido de lámpara; doble llamada al TON poco idiomática.</t>
        </is>
      </c>
      <c r="J26" s="42" t="inlineStr">
        <is>
          <t>La doble invocación con IN:=FALSE bloquea la temporización.</t>
        </is>
      </c>
      <c r="K26" s="42" t="inlineStr">
        <is>
          <t>Comentarios y nombres claros, pero la lógica interna es confusa.</t>
        </is>
      </c>
      <c r="L26" s="42" t="inlineStr">
        <is>
          <t>Cambio del temporizador requiere reestructurar varias líneas.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C3-4158</t>
        </is>
      </c>
      <c r="B27" s="39" t="inlineStr">
        <is>
          <t>Compila. Pasa los 11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Pasa el harness; TON con T#10S y E/S formales idiomáticos.</t>
        </is>
      </c>
      <c r="J27" s="42" t="inlineStr">
        <is>
          <t>Auto-retención y paro coherentes; temporizador se resetea correctamente.</t>
        </is>
      </c>
      <c r="K27" s="42" t="inlineStr">
        <is>
          <t>Comentarios por rama y variables descriptivas.</t>
        </is>
      </c>
      <c r="L27" s="42" t="inlineStr">
        <is>
          <t>Sin duplicación; tiempo localizado.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C3-1088</t>
        </is>
      </c>
      <c r="B28" s="39" t="inlineStr">
        <is>
          <t>Compila sola, pero no se pudo simular: declara las entradas donde el harness no puede escribirlas ('btnMarcha' no es ninguna entrada de 'PRG_Conversion').</t>
        </is>
      </c>
      <c r="C28" s="41" t="n">
        <v>2</v>
      </c>
      <c r="D28" s="41" t="n">
        <v>2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Compila y la lógica es correcta, pero declara E/S en VAR local; no se pudo simular.</t>
        </is>
      </c>
      <c r="J28" s="42" t="inlineStr">
        <is>
          <t>Lógica sin contradicciones y con transiciones correctas.</t>
        </is>
      </c>
      <c r="K28" s="42" t="inlineStr">
        <is>
          <t>Nombres claros y comentarios básicos, estructura plana.</t>
        </is>
      </c>
      <c r="L28" s="42" t="inlineStr">
        <is>
          <t>Tiempo en un único lugar, sin constantes globales.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C3-5466</t>
        </is>
      </c>
      <c r="B29" s="39" t="inlineStr">
        <is>
          <t>Compila sola, pero no se pudo simular: declara las entradas donde el harness no puede escribirlas ('btnMarcha' no es ninguna entrada de 'PRG_Conversion').</t>
        </is>
      </c>
      <c r="C29" s="41" t="n">
        <v>0</v>
      </c>
      <c r="D29" s="41" t="n">
        <v>2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Compila, pero omite NOT en btnParo y usa VAR local; falla el arranque.</t>
        </is>
      </c>
      <c r="J29" s="42" t="inlineStr">
        <is>
          <t>Contacto NC invertido respecto a la lógica pedida.</t>
        </is>
      </c>
      <c r="K29" s="42" t="inlineStr">
        <is>
          <t>Básica y comentada, pero no evita el error central.</t>
        </is>
      </c>
      <c r="L29" s="42" t="inlineStr">
        <is>
          <t>Corrección requiere tocar interfaz y condición central.</t>
        </is>
      </c>
      <c r="M29" s="42" t="n"/>
      <c r="N29" s="40">
        <f>IF(COUNT(C29:G29)=5,"Completa","Falta")</f>
        <v/>
      </c>
    </row>
    <row r="30"/>
  </sheetData>
  <dataValidations count="3">
    <dataValidation sqref="C6:C7 C13 C17 C21 C24:C26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C7 — Conversión Ladder a ST — contador con preset (Complementaria)</t>
        </is>
      </c>
    </row>
    <row r="2" ht="15" customHeight="1" s="22">
      <c r="A2" s="33" t="inlineStr">
        <is>
          <t>Lee cada respuesta por su código en respuestas/Respuestas_C7.html.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C7-2387</t>
        </is>
      </c>
      <c r="B6" s="39" t="inlineStr">
        <is>
          <t>Compila. Pasa los 7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Funcional fijo 3; compila y usa CTU, pero asigna C1.PV fuera de la invocación, menos idiomático.</t>
        </is>
      </c>
      <c r="J6" s="42" t="inlineStr">
        <is>
          <t>Sin contradicciones; el contador se actualiza antes de leer las salidas y CTU maneja reset y flancos.</t>
        </is>
      </c>
      <c r="K6" s="42" t="inlineStr">
        <is>
          <t>Nombres descriptivos, secciones ordenadas por rama y comentarios útiles.</t>
        </is>
      </c>
      <c r="L6" s="42" t="inlineStr">
        <is>
          <t>El preset 12 es un literal en línea, sin constante declarada; hay que editar la lógica.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C7-3786</t>
        </is>
      </c>
      <c r="B7" s="39" t="inlineStr">
        <is>
          <t>No compila (6 errores).</t>
        </is>
      </c>
      <c r="C7" s="40" t="n">
        <v>0</v>
      </c>
      <c r="D7" s="40" t="n">
        <v>0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La lógica conceptual es correcta y sin contradicciones; el formal R inválido y el error sintáctico impiden compilar.</t>
        </is>
      </c>
      <c r="K7" s="42" t="inlineStr">
        <is>
          <t>Estructura por ramas y comentarios claros, aunque contiene errores sintácticos/formal.</t>
        </is>
      </c>
      <c r="L7" s="42" t="inlineStr">
        <is>
          <t>El preset 12 es un literal en línea, sin constante declarada.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C7-5127</t>
        </is>
      </c>
      <c r="B8" s="39" t="inlineStr">
        <is>
          <t>Compila. Pasa los 7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fijo 3; CTU instanciado e invocado idiomáticamente con PV=12.</t>
        </is>
      </c>
      <c r="J8" s="42" t="inlineStr">
        <is>
          <t>Sin contradicciones; CTU maneja reset, flancos y entradas simultáneas; transiciones completas.</t>
        </is>
      </c>
      <c r="K8" s="42" t="inlineStr">
        <is>
          <t>Nombres descriptivos, secciones ordenadas por rama y comentarios útiles.</t>
        </is>
      </c>
      <c r="L8" s="42" t="inlineStr">
        <is>
          <t>El preset 12 es un literal en línea, sin constante declarada.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C7-4283</t>
        </is>
      </c>
      <c r="B9" s="39" t="inlineStr">
        <is>
          <t>Compila. Pasa los 7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Funcional fijo 3; compila sin cambios, pero asigna C1.PV fuera de la llamada, no idiomático.</t>
        </is>
      </c>
      <c r="J9" s="42" t="inlineStr">
        <is>
          <t>Sin contradicciones; el contador se actualiza antes de leer las salidas y CTU maneja reset y flancos.</t>
        </is>
      </c>
      <c r="K9" s="42" t="inlineStr">
        <is>
          <t>Nombres descriptivos, secciones ordenadas por rama y comentarios útiles.</t>
        </is>
      </c>
      <c r="L9" s="42" t="inlineStr">
        <is>
          <t>El preset 12 es un literal en línea, sin constante declarada.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C7-5811</t>
        </is>
      </c>
      <c r="B10" s="39" t="inlineStr">
        <is>
          <t>Compila. Pasa los 7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Funcional fijo 3; CTU instanciado e invocado idiomáticamente con PV=12.</t>
        </is>
      </c>
      <c r="J10" s="42" t="inlineStr">
        <is>
          <t>Sin contradicciones; CTU maneja reset, flancos y entradas simultáneas; transiciones completas.</t>
        </is>
      </c>
      <c r="K10" s="42" t="inlineStr">
        <is>
          <t>Nombres descriptivos, secciones ordenadas por rama y comentarios útiles.</t>
        </is>
      </c>
      <c r="L10" s="42" t="inlineStr">
        <is>
          <t>El preset 12 es un literal en línea, sin constante declarada.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C7-2960</t>
        </is>
      </c>
      <c r="B11" s="39" t="inlineStr">
        <is>
          <t>Compila. Pasa los 7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Funcional fijo 3; CTU instanciado e invocado idiomáticamente con PV=12.</t>
        </is>
      </c>
      <c r="J11" s="42" t="inlineStr">
        <is>
          <t>Sin contradicciones; CTU maneja reset, flancos y entradas simultáneas; transiciones completas.</t>
        </is>
      </c>
      <c r="K11" s="42" t="inlineStr">
        <is>
          <t>Nombres descriptivos, secciones ordenadas por rama y comentarios útiles.</t>
        </is>
      </c>
      <c r="L11" s="42" t="inlineStr">
        <is>
          <t>El preset 12 es un literal en línea, sin constante declarada.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C7-2343</t>
        </is>
      </c>
      <c r="B12" s="39" t="inlineStr">
        <is>
          <t>Compila. Pasa los 7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Funcional fijo 3; CTU instanciado e invocado idiomáticamente con PV=12.</t>
        </is>
      </c>
      <c r="J12" s="42" t="inlineStr">
        <is>
          <t>Sin contradicciones; CTU maneja reset, flancos y entradas simultáneas; transiciones completas.</t>
        </is>
      </c>
      <c r="K12" s="42" t="inlineStr">
        <is>
          <t>Nombres descriptivos, secciones ordenadas por rama y comentarios útiles.</t>
        </is>
      </c>
      <c r="L12" s="42" t="inlineStr">
        <is>
          <t>El preset 12 es un literal en línea, sin constante declarada.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C7-1855</t>
        </is>
      </c>
      <c r="B13" s="39" t="inlineStr">
        <is>
          <t>Compila. Pasa los 7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fijo 3; CTU instanciado e invocado idiomáticamente con PV=12.</t>
        </is>
      </c>
      <c r="J13" s="42" t="inlineStr">
        <is>
          <t>Sin contradicciones; CTU maneja reset, flancos y entradas simultáneas; transiciones completas.</t>
        </is>
      </c>
      <c r="K13" s="42" t="inlineStr">
        <is>
          <t>Nombres descriptivos, secciones ordenadas por rama y comentarios útiles.</t>
        </is>
      </c>
      <c r="L13" s="42" t="inlineStr">
        <is>
          <t>El preset 12 es un literal en línea, sin constante declarada.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C7-6731</t>
        </is>
      </c>
      <c r="B14" s="39" t="inlineStr">
        <is>
          <t>Compila. Pasa los 7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Funcional fijo 3; CTU instanciado e invocado idiomáticamente con PV=12.</t>
        </is>
      </c>
      <c r="J14" s="42" t="inlineStr">
        <is>
          <t>Sin contradicciones; CTU maneja reset, flancos y entradas simultáneas; transiciones completas.</t>
        </is>
      </c>
      <c r="K14" s="42" t="inlineStr">
        <is>
          <t>Nombres descriptivos, secciones ordenadas por rama y comentarios útiles.</t>
        </is>
      </c>
      <c r="L14" s="42" t="inlineStr">
        <is>
          <t>El preset 12 es un literal en línea, sin constante declarada.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C7-3114</t>
        </is>
      </c>
      <c r="B15" s="39" t="inlineStr">
        <is>
          <t>Compila. Pasa los 7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Funcional fijo 3; CTU instanciado e invocado idiomáticamente con PV=12.</t>
        </is>
      </c>
      <c r="J15" s="42" t="inlineStr">
        <is>
          <t>Sin contradicciones; CTU maneja reset, flancos y entradas simultáneas; transiciones completas.</t>
        </is>
      </c>
      <c r="K15" s="42" t="inlineStr">
        <is>
          <t>Nombres descriptivos y comentarios útiles; la estructura por ramas es clara.</t>
        </is>
      </c>
      <c r="L15" s="42" t="inlineStr">
        <is>
          <t>El preset 12 es un literal en línea, sin constante declarada.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C7-6201</t>
        </is>
      </c>
      <c r="B16" s="39" t="inlineStr">
        <is>
          <t>Compila. Falla 5 de 7 pasos del harness (pasos 1,2,3,4,5; numerados desde 0).</t>
        </is>
      </c>
      <c r="C16" s="41" t="n">
        <v>0</v>
      </c>
      <c r="D16" s="41" t="n">
        <v>2</v>
      </c>
      <c r="E16" s="41" t="n">
        <v>0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Funcional 0: compila pero no invoca C1(), por lo que no cuenta; IEC 2: declaraciones y tipos correctos, pero no instancia el CTU idiomáticamente.</t>
        </is>
      </c>
      <c r="J16" s="42" t="inlineStr">
        <is>
          <t>Asigna C1.CU/RESET y lee CV/Q sin invocar C1(), dejando el contador inactivo y la lógica no operativa.</t>
        </is>
      </c>
      <c r="K16" s="42" t="inlineStr">
        <is>
          <t>Nombres descriptivos y comentarios por sección, aunque la lógica no invoca el bloque.</t>
        </is>
      </c>
      <c r="L16" s="42" t="inlineStr">
        <is>
          <t>El preset 12 es un literal en línea, sin constante declarada.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C7-2101</t>
        </is>
      </c>
      <c r="B17" s="39" t="inlineStr">
        <is>
          <t>Compila. Pasa los 7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fijo 3; CTU instanciado e invocado idiomáticamente con PV=12.</t>
        </is>
      </c>
      <c r="J17" s="42" t="inlineStr">
        <is>
          <t>Sin contradicciones; CTU maneja reset, flancos y entradas simultáneas; transiciones completas.</t>
        </is>
      </c>
      <c r="K17" s="42" t="inlineStr">
        <is>
          <t>Nombres descriptivos, secciones ordenadas por rama y comentarios útiles.</t>
        </is>
      </c>
      <c r="L17" s="42" t="inlineStr">
        <is>
          <t>El preset 12 es un literal en línea, sin constante declarada.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C7-9652</t>
        </is>
      </c>
      <c r="B18" s="39" t="inlineStr">
        <is>
          <t>Compila. Pasa los 7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Funcional fijo 3; CTU instanciado e invocado idiomáticamente con PV=12.</t>
        </is>
      </c>
      <c r="J18" s="42" t="inlineStr">
        <is>
          <t>Sin contradicciones; CTU maneja reset, flancos y entradas simultáneas; transiciones completas.</t>
        </is>
      </c>
      <c r="K18" s="42" t="inlineStr">
        <is>
          <t>Nombres descriptivos, secciones ordenadas por rama y comentarios útiles.</t>
        </is>
      </c>
      <c r="L18" s="42" t="inlineStr">
        <is>
          <t>El preset 12 es un literal en línea, sin constante declarada.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C7-6391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Funcional fijo 3; CTU instanciado e invocado idiomáticamente con PV=12.</t>
        </is>
      </c>
      <c r="J19" s="42" t="inlineStr">
        <is>
          <t>Sin contradicciones; CTU maneja reset, flancos y entradas simultáneas; transiciones completas.</t>
        </is>
      </c>
      <c r="K19" s="42" t="inlineStr">
        <is>
          <t>Nombres descriptivos, secciones ordenadas por rama y comentarios útiles.</t>
        </is>
      </c>
      <c r="L19" s="42" t="inlineStr">
        <is>
          <t>El preset 12 es un literal en línea, sin constante declarada.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C7-2041</t>
        </is>
      </c>
      <c r="B20" s="39" t="inlineStr">
        <is>
          <t>Compila. Pasa los 7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Funcional fijo 3; CTU instanciado e invocado idiomáticamente con PV=12.</t>
        </is>
      </c>
      <c r="J20" s="42" t="inlineStr">
        <is>
          <t>Sin contradicciones; CTU maneja reset, flancos y entradas simultáneas; transiciones completas.</t>
        </is>
      </c>
      <c r="K20" s="42" t="inlineStr">
        <is>
          <t>Nombres descriptivos, secciones ordenadas por rama y comentarios útiles.</t>
        </is>
      </c>
      <c r="L20" s="42" t="inlineStr">
        <is>
          <t>El preset 12 es un literal en línea, sin constante declarada.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C7-9033</t>
        </is>
      </c>
      <c r="B21" s="39" t="inlineStr">
        <is>
          <t>Compila. Pasa los 7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Funcional fijo 3; CTU instanciado e invocado idiomáticamente con PV=12.</t>
        </is>
      </c>
      <c r="J21" s="42" t="inlineStr">
        <is>
          <t>Sin contradicciones; CTU maneja reset, flancos y entradas simultáneas; transiciones completas.</t>
        </is>
      </c>
      <c r="K21" s="42" t="inlineStr">
        <is>
          <t>Nombres descriptivos, secciones ordenadas por rama y comentarios útiles.</t>
        </is>
      </c>
      <c r="L21" s="42" t="inlineStr">
        <is>
          <t>El preset 12 es un literal en línea, sin constante declarada.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C7-2277</t>
        </is>
      </c>
      <c r="B22" s="39" t="inlineStr">
        <is>
          <t>Compila. Pasa los 7 pasos del harness.</t>
        </is>
      </c>
      <c r="C22" s="40" t="n">
        <v>3</v>
      </c>
      <c r="D22" s="41" t="n">
        <v>2</v>
      </c>
      <c r="E22" s="41" t="n">
        <v>3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Funcional fijo 3; compila sin cambios, pero accede a entradas internas de C1 y llama C1() al final, no idiomático.</t>
        </is>
      </c>
      <c r="J22" s="42" t="inlineStr">
        <is>
          <t>Sin contradicciones; el contador se ejecuta y CTU maneja reset y flancos, aunque las salidas se lean antes de C1().</t>
        </is>
      </c>
      <c r="K22" s="42" t="inlineStr">
        <is>
          <t>Nombres descriptivos y comentarios útiles, con la lógica separada por rama.</t>
        </is>
      </c>
      <c r="L22" s="42" t="inlineStr">
        <is>
          <t>El preset 12 es un literal en línea, sin constante declarada.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C7-6780</t>
        </is>
      </c>
      <c r="B23" s="39" t="inlineStr">
        <is>
          <t>Compila. Pasa los 7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Funcional fijo 3; CTU instanciado e invocado idiomáticamente con PV=12.</t>
        </is>
      </c>
      <c r="J23" s="42" t="inlineStr">
        <is>
          <t>Sin contradicciones; CTU maneja reset, flancos y entradas simultáneas; transiciones completas.</t>
        </is>
      </c>
      <c r="K23" s="42" t="inlineStr">
        <is>
          <t>Nombres descriptivos, secciones ordenadas por rama y comentarios útiles.</t>
        </is>
      </c>
      <c r="L23" s="42" t="inlineStr">
        <is>
          <t>El preset 12 es un literal en línea, sin constante declarada.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C7-1135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3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Funcional fijo 3; compila sin cambios, pero accede a entradas internas de C1 y llama C1() al final, no idiomático.</t>
        </is>
      </c>
      <c r="J24" s="42" t="inlineStr">
        <is>
          <t>Sin contradicciones; el contador se ejecuta y CTU maneja reset y flancos, aunque las salidas se lean antes de C1().</t>
        </is>
      </c>
      <c r="K24" s="42" t="inlineStr">
        <is>
          <t>Nombres descriptivos y comentarios útiles, con la lógica separada por rama.</t>
        </is>
      </c>
      <c r="L24" s="42" t="inlineStr">
        <is>
          <t>El preset 12 es un literal en línea, sin constante declarada.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C7-1952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Funcional fijo 3; CTU instanciado e invocado idiomáticamente con PV=12.</t>
        </is>
      </c>
      <c r="J25" s="42" t="inlineStr">
        <is>
          <t>Sin contradicciones; CTU maneja reset, flancos y entradas simultáneas; transiciones completas.</t>
        </is>
      </c>
      <c r="K25" s="42" t="inlineStr">
        <is>
          <t>Nombres descriptivos, secciones ordenadas por rama y comentarios útiles.</t>
        </is>
      </c>
      <c r="L25" s="42" t="inlineStr">
        <is>
          <t>El preset 12 es un literal en línea, sin constante declarada.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C7-8580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 fijo 3; CTU instanciado e invocado idiomáticamente con PV=12.</t>
        </is>
      </c>
      <c r="J26" s="42" t="inlineStr">
        <is>
          <t>Sin contradicciones; CTU maneja reset, flancos y entradas simultáneas; transiciones completas.</t>
        </is>
      </c>
      <c r="K26" s="42" t="inlineStr">
        <is>
          <t>Nombres descriptivos, secciones ordenadas por rama y comentarios útiles.</t>
        </is>
      </c>
      <c r="L26" s="42" t="inlineStr">
        <is>
          <t>El preset 12 es un literal en línea, sin constante declarada.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C7-8598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3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Funcional fijo 3; compila sin cambios, pero asigna entradas internas de C1 y ejecuta C1() en lugar de la llamada idiomática.</t>
        </is>
      </c>
      <c r="J27" s="42" t="inlineStr">
        <is>
          <t>Sin contradicciones; ejecuta C1() antes de transferir CV/Q, y CTU maneja reset y flancos.</t>
        </is>
      </c>
      <c r="K27" s="42" t="inlineStr">
        <is>
          <t>Nombres descriptivos y comentarios útiles, con la lógica separada por rama.</t>
        </is>
      </c>
      <c r="L27" s="42" t="inlineStr">
        <is>
          <t>El preset 12 es un literal en línea, sin constante declarada.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C7-9091</t>
        </is>
      </c>
      <c r="B28" s="39" t="inlineStr">
        <is>
          <t>Compila. Pasa los 7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Funcional fijo 3; CTU instanciado e invocado idiomáticamente con PV=12.</t>
        </is>
      </c>
      <c r="J28" s="42" t="inlineStr">
        <is>
          <t>Sin contradicciones; CTU maneja reset, flancos y entradas simultáneas; transiciones completas.</t>
        </is>
      </c>
      <c r="K28" s="42" t="inlineStr">
        <is>
          <t>Nombres descriptivos, secciones ordenadas por rama y comentarios útiles.</t>
        </is>
      </c>
      <c r="L28" s="42" t="inlineStr">
        <is>
          <t>El preset 12 es un literal en línea, sin constante declarada.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C7-7646</t>
        </is>
      </c>
      <c r="B29" s="39" t="inlineStr">
        <is>
          <t>Compila. Pasa los 7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Funcional fijo 3; CTU instanciado e invocado idiomáticamente con PV=12.</t>
        </is>
      </c>
      <c r="J29" s="42" t="inlineStr">
        <is>
          <t>Sin contradicciones; CTU maneja reset, flancos y entradas simultáneas; transiciones completas.</t>
        </is>
      </c>
      <c r="K29" s="42" t="inlineStr">
        <is>
          <t>Nombres descriptivos y comentarios útiles; la estructura por ramas es clara.</t>
        </is>
      </c>
      <c r="L29" s="42" t="inlineStr">
        <is>
          <t>El preset 12 es un literal en línea, sin constante declarada.</t>
        </is>
      </c>
      <c r="M29" s="42" t="n"/>
      <c r="N29" s="40">
        <f>IF(COUNT(C29:G29)=5,"Completa","Falta")</f>
        <v/>
      </c>
    </row>
    <row r="30"/>
  </sheetData>
  <dataValidations count="3">
    <dataValidation sqref="D6 D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  <dataValidation sqref="C1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[OFICIAL — Evaluador LLM: DeepSeek deepseek-v4-pro (decisión 2026-10-09, INC-35)] C8 — Conversión Ladder a ST — válvula con retardo (Complementaria)</t>
        </is>
      </c>
    </row>
    <row r="2" ht="15" customHeight="1" s="22">
      <c r="A2" s="33" t="inlineStr">
        <is>
          <t>Lee cada respuesta por su código en respuestas/Respuestas_C8.html.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C8-5754</t>
        </is>
      </c>
      <c r="B6" s="39" t="inlineStr">
        <is>
          <t>Compila. Pasa los 6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TON directo con PT T#5S y comentarios (* *) conformes a IEC.</t>
        </is>
      </c>
      <c r="J6" s="42" t="inlineStr">
        <is>
          <t>Lógica directa, sin contradicciones ni estados muertos.</t>
        </is>
      </c>
      <c r="K6" s="42" t="inlineStr">
        <is>
          <t>Nombres descriptivos y secciones separadas con comentarios que explican las ramas.</t>
        </is>
      </c>
      <c r="L6" s="42" t="inlineStr">
        <is>
          <t>Retardo único y localizado, fácil de ajustar.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C8-2534</t>
        </is>
      </c>
      <c r="B7" s="39" t="inlineStr">
        <is>
          <t>Compila. Pasa los 6 pasos del harness.</t>
        </is>
      </c>
      <c r="C7" s="40" t="n">
        <v>3</v>
      </c>
      <c r="D7" s="41" t="n">
        <v>3</v>
      </c>
      <c r="E7" s="41" t="n">
        <v>3</v>
      </c>
      <c r="F7" s="41" t="n">
        <v>3</v>
      </c>
      <c r="G7" s="41" t="n">
        <v>2</v>
      </c>
      <c r="H7" s="40">
        <f>IF(COUNT(C7:G7)=5,SUM(C7:G7),"")</f>
        <v/>
      </c>
      <c r="I7" s="42" t="inlineStr">
        <is>
          <t>IF/ELSE completo que actualiza TON en TRUE y FALSE, conforme a IEC.</t>
        </is>
      </c>
      <c r="J7" s="42" t="inlineStr">
        <is>
          <t>Transiciones completas del temporizador, incluido el cierre por flanco de bajada.</t>
        </is>
      </c>
      <c r="K7" s="42" t="inlineStr">
        <is>
          <t>Comentarios breves, nombres claros y estructura ordenada.</t>
        </is>
      </c>
      <c r="L7" s="42" t="inlineStr">
        <is>
          <t>Valor de temporización único y sin lógica duplicada.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C8-4156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IF/ELSE correcto y TON bien instanciado; compila en CODESYS aunque // y END omitido no son IEC estrictos.</t>
        </is>
      </c>
      <c r="J8" s="42" t="inlineStr">
        <is>
          <t>IF/ELSE completo mantiene IN del TON actualizado en ambos estados.</t>
        </is>
      </c>
      <c r="K8" s="42" t="inlineStr">
        <is>
          <t>Comentarios descriptivos, aunque el estilo // es menos estándar.</t>
        </is>
      </c>
      <c r="L8" s="42" t="inlineStr">
        <is>
          <t>Modificación del retardo localizada en una única línea.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C8-1981</t>
        </is>
      </c>
      <c r="B9" s="39" t="inlineStr">
        <is>
          <t>Compila. Pasa los 6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TON con PT asignado y llamada correcta; compila aunque usa // y omite END_FUNCTION_BLOCK.</t>
        </is>
      </c>
      <c r="J9" s="42" t="inlineStr">
        <is>
          <t>PT se fija una vez y el IF/ELSE actualiza IN sin ambigüedad.</t>
        </is>
      </c>
      <c r="K9" s="42" t="inlineStr">
        <is>
          <t>Ramas comentadas y nombres descriptivos, sin cierre explícito del POU.</t>
        </is>
      </c>
      <c r="L9" s="42" t="inlineStr">
        <is>
          <t>Temporización en un literal único; lógica simple de modificar.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C8-8380</t>
        </is>
      </c>
      <c r="B10" s="39" t="inlineStr">
        <is>
          <t>Compila. Pasa los 6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Uso idiomático y directo de TON con PT T#5S.</t>
        </is>
      </c>
      <c r="J10" s="42" t="inlineStr">
        <is>
          <t>Refleja fielmente las dos ramas y el rearme natural del TON.</t>
        </is>
      </c>
      <c r="K10" s="42" t="inlineStr">
        <is>
          <t>Declaración separada de E/S y comentarios de rama claros.</t>
        </is>
      </c>
      <c r="L10" s="42" t="inlineStr">
        <is>
          <t>Valor del retardo en un único punto.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C8-5696</t>
        </is>
      </c>
      <c r="B11" s="39" t="inlineStr">
        <is>
          <t>Compila. Pasa los 6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IF/ELSE estándar que controla el TON en ambos flancos.</t>
        </is>
      </c>
      <c r="J11" s="42" t="inlineStr">
        <is>
          <t>Actualización explícita de IN en TRUE/FALSE; sin estados muertos.</t>
        </is>
      </c>
      <c r="K11" s="42" t="inlineStr">
        <is>
          <t>Bien organizado y comentado con nombres descriptivos.</t>
        </is>
      </c>
      <c r="L11" s="42" t="inlineStr">
        <is>
          <t>Retardo único, fácil de cambiar.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C8-4887</t>
        </is>
      </c>
      <c r="B12" s="39" t="inlineStr">
        <is>
          <t>Compila. Pasa los 6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TON directo y tipos correctos; compila con // aceptado por CODESYS.</t>
        </is>
      </c>
      <c r="J12" s="42" t="inlineStr">
        <is>
          <t>Expresión directa sin contradicciones; temporizador actualizado en cada ciclo.</t>
        </is>
      </c>
      <c r="K12" s="42" t="inlineStr">
        <is>
          <t>Comentarios de rama útiles y nombres claros; estilo //.</t>
        </is>
      </c>
      <c r="L12" s="42" t="inlineStr">
        <is>
          <t>Literal de tiempo único y localizado.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C8-4679</t>
        </is>
      </c>
      <c r="B13" s="39" t="inlineStr">
        <is>
          <t>Compila. Pasa los 6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2</v>
      </c>
      <c r="H13" s="40">
        <f>IF(COUNT(C13:G13)=5,SUM(C13:G13),"")</f>
        <v/>
      </c>
      <c r="I13" s="42" t="inlineStr">
        <is>
          <t>TON directo y conforme con PT T#5S.</t>
        </is>
      </c>
      <c r="J13" s="42" t="inlineStr">
        <is>
          <t>Lógica simple y robusta, sin estados inalcanzables.</t>
        </is>
      </c>
      <c r="K13" s="42" t="inlineStr">
        <is>
          <t>Nombres descriptivos y comentarios de propósito.</t>
        </is>
      </c>
      <c r="L13" s="42" t="inlineStr">
        <is>
          <t>Temporización en una única llamada.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C8-6973</t>
        </is>
      </c>
      <c r="B14" s="39" t="inlineStr">
        <is>
          <t>Compila sola, pero no se pudo simular: declara las entradas donde el harness no puede escribirlas ('nivelAlto' no es ninguna entrada de 'FB_VALVULA').</t>
        </is>
      </c>
      <c r="C14" s="41" t="n">
        <v>0</v>
      </c>
      <c r="D14" s="41" t="n">
        <v>2</v>
      </c>
      <c r="E14" s="41" t="n">
        <v>1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Compila y usa TON, pero no declara VAR_INPUT/VAR_OUTPUT; el harness no puede operar el FB.</t>
        </is>
      </c>
      <c r="J14" s="42" t="inlineStr">
        <is>
          <t>Variables de interfaz locales nunca asignadas; la lógica queda aislada y no operable.</t>
        </is>
      </c>
      <c r="K14" s="42" t="inlineStr">
        <is>
          <t>Comentarios claros en nombres, pero engañosos al llamar entradas a variables locales.</t>
        </is>
      </c>
      <c r="L14" s="42" t="inlineStr">
        <is>
          <t>Requiere reescribir la declaración VAR para exponer entradas y salidas.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C8-7535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TON directo y conforme a IEC.</t>
        </is>
      </c>
      <c r="J15" s="42" t="inlineStr">
        <is>
          <t>Lógica directa de las dos ramas, sin ambigüedad.</t>
        </is>
      </c>
      <c r="K15" s="42" t="inlineStr">
        <is>
          <t>Organización limpia y comentarios de rama.</t>
        </is>
      </c>
      <c r="L15" s="42" t="inlineStr">
        <is>
          <t>Único literal de tiempo.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C8-1455</t>
        </is>
      </c>
      <c r="B16" s="39" t="inlineStr">
        <is>
          <t>Compila. Falla 2 de 6 pasos del harness (pasos 3,5; numerados desde 0).</t>
        </is>
      </c>
      <c r="C16" s="41" t="n">
        <v>1</v>
      </c>
      <c r="D16" s="41" t="n">
        <v>2</v>
      </c>
      <c r="E16" s="41" t="n">
        <v>1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Compila y usa TON, pero falla pasos 3 y 5 por no actualizar IN en FALSE; // y END omitido.</t>
        </is>
      </c>
      <c r="J16" s="42" t="inlineStr">
        <is>
          <t>Transición incompleta: sin ELSE, T1 conserva estado y Q queda enclavado al caer nivelAlto.</t>
        </is>
      </c>
      <c r="K16" s="42" t="inlineStr">
        <is>
          <t>Nombres y comentarios claros, aunque no evidencian que falta el cierre.</t>
        </is>
      </c>
      <c r="L16" s="42" t="inlineStr">
        <is>
          <t>Lógica simple; corregir el ELSE es un cambio localizado.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C8-8654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TON directo y conforme a IEC.</t>
        </is>
      </c>
      <c r="J17" s="42" t="inlineStr">
        <is>
          <t>Traducción fiel de las dos ramas sin contradicciones.</t>
        </is>
      </c>
      <c r="K17" s="42" t="inlineStr">
        <is>
          <t>Comentarios por rama y estructura clara.</t>
        </is>
      </c>
      <c r="L17" s="42" t="inlineStr">
        <is>
          <t>Retardo único y localizado.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C8-2995</t>
        </is>
      </c>
      <c r="B18" s="39" t="inlineStr">
        <is>
          <t>Compila sola, pero no se pudo simular: declara las entradas donde el harness no puede escribirlas ('nivelAlto' no es ninguna entrada de 'FB_VALVULA').</t>
        </is>
      </c>
      <c r="C18" s="41" t="n">
        <v>0</v>
      </c>
      <c r="D18" s="41" t="n">
        <v>2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42" t="inlineStr">
        <is>
          <t>Compila y usa TON, pero no declara VAR_INPUT/VAR_OUTPUT; no se puede simular.</t>
        </is>
      </c>
      <c r="J18" s="42" t="inlineStr">
        <is>
          <t>Interfaz local no conectable; nivelAlto y valvula son variables internas sin entrada/salida.</t>
        </is>
      </c>
      <c r="K18" s="42" t="inlineStr">
        <is>
          <t>Comentarios descriptivos, pero la declaración no refleja la interfaz pedida.</t>
        </is>
      </c>
      <c r="L18" s="42" t="inlineStr">
        <is>
          <t>Requiere reescribir la interfaz para adaptar el FB.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C8-7711</t>
        </is>
      </c>
      <c r="B19" s="39" t="inlineStr">
        <is>
          <t>Compila. Pasa los 6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TON idiomático con comentarios IEC claros.</t>
        </is>
      </c>
      <c r="J19" s="42" t="inlineStr">
        <is>
          <t>Lógica directa y sin redundancias.</t>
        </is>
      </c>
      <c r="K19" s="42" t="inlineStr">
        <is>
          <t>Comentarios en bloque por rama y separación de E/S.</t>
        </is>
      </c>
      <c r="L19" s="42" t="inlineStr">
        <is>
          <t>Tiempo en única llamada, fácil de ajustar.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C8-4581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TON directo y conforme con PT T#5S.</t>
        </is>
      </c>
      <c r="J20" s="42" t="inlineStr">
        <is>
          <t>Lógica simple y completa.</t>
        </is>
      </c>
      <c r="K20" s="42" t="inlineStr">
        <is>
          <t>Nombres descriptivos y comentarios de propósito por rama.</t>
        </is>
      </c>
      <c r="L20" s="42" t="inlineStr">
        <is>
          <t>Único valor de temporización.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C8-6084</t>
        </is>
      </c>
      <c r="B21" s="39" t="inlineStr">
        <is>
          <t>Compila. Pasa los 6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TON directo y tipos correctos; compila con // aceptado por CODESYS.</t>
        </is>
      </c>
      <c r="J21" s="42" t="inlineStr">
        <is>
          <t>Lógica directa sin contradicciones; temporizador actualizado en cada ciclo.</t>
        </is>
      </c>
      <c r="K21" s="42" t="inlineStr">
        <is>
          <t>Comentarios por rama claros, aunque con //.</t>
        </is>
      </c>
      <c r="L21" s="42" t="inlineStr">
        <is>
          <t>Valor de tiempo único.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C8-4519</t>
        </is>
      </c>
      <c r="B22" s="39" t="inlineStr">
        <is>
          <t>Compila. Pasa los 6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TON directo y conforme; comentarios IEC estándar.</t>
        </is>
      </c>
      <c r="J22" s="42" t="inlineStr">
        <is>
          <t>Lógica sin contradicciones ni estados inalcanzables.</t>
        </is>
      </c>
      <c r="K22" s="42" t="inlineStr">
        <is>
          <t>Documentación por rama clara y estructura separada.</t>
        </is>
      </c>
      <c r="L22" s="42" t="inlineStr">
        <is>
          <t>Retardo en una única línea.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C8-2420</t>
        </is>
      </c>
      <c r="B23" s="39" t="inlineStr">
        <is>
          <t>Compila. Pasa los 6 pasos del harness.</t>
        </is>
      </c>
      <c r="C23" s="40" t="n">
        <v>3</v>
      </c>
      <c r="D23" s="41" t="n">
        <v>2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TON directo y tipos correctos; compila con // aceptado por CODESYS.</t>
        </is>
      </c>
      <c r="J23" s="42" t="inlineStr">
        <is>
          <t>Lógica directa de temporización, sin estados muertos.</t>
        </is>
      </c>
      <c r="K23" s="42" t="inlineStr">
        <is>
          <t>Comentarios claros, aunque estilo //.</t>
        </is>
      </c>
      <c r="L23" s="42" t="inlineStr">
        <is>
          <t>Único literal de tiempo.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C8-5584</t>
        </is>
      </c>
      <c r="B24" s="39" t="inlineStr">
        <is>
          <t>Compila. Pasa los 6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TON directo y conforme; comentarios (* *) estándar.</t>
        </is>
      </c>
      <c r="J24" s="42" t="inlineStr">
        <is>
          <t>Lógica directa y robusta.</t>
        </is>
      </c>
      <c r="K24" s="42" t="inlineStr">
        <is>
          <t>Nombres claros y comentarios de rama.</t>
        </is>
      </c>
      <c r="L24" s="42" t="inlineStr">
        <is>
          <t>Retardo único y localizado.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C8-3511</t>
        </is>
      </c>
      <c r="B25" s="39" t="inlineStr">
        <is>
          <t>Compila. Pasa los 6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TON con comentarios (* *) correctos, pero omite END_FUNCTION_BLOCK.</t>
        </is>
      </c>
      <c r="J25" s="42" t="inlineStr">
        <is>
          <t>Lógica directa y coherente.</t>
        </is>
      </c>
      <c r="K25" s="42" t="inlineStr">
        <is>
          <t>Comentarios claros, aunque el POU cierra implícitamente.</t>
        </is>
      </c>
      <c r="L25" s="42" t="inlineStr">
        <is>
          <t>Tiempo único, fácil de modificar.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C8-4933</t>
        </is>
      </c>
      <c r="B26" s="39" t="inlineStr">
        <is>
          <t>Compila sola, pero no se pudo simular: declara las entradas donde el harness no puede escribirlas ('nivelAlto' no es ninguna entrada de 'FB_VALVULA').</t>
        </is>
      </c>
      <c r="C26" s="41" t="n">
        <v>0</v>
      </c>
      <c r="D26" s="41" t="n">
        <v>2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Compila y usa TON, pero no declara entradas/salidas; no se puede operar.</t>
        </is>
      </c>
      <c r="J26" s="42" t="inlineStr">
        <is>
          <t>Variables locales no conectables dejan la lógica estática.</t>
        </is>
      </c>
      <c r="K26" s="42" t="inlineStr">
        <is>
          <t>Comentarios claros; roles de E/S no corresponden a la declaración.</t>
        </is>
      </c>
      <c r="L26" s="42" t="inlineStr">
        <is>
          <t>Requiere cambiar VAR por VAR_INPUT/OUTPUT para ser utilizable.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C8-8185</t>
        </is>
      </c>
      <c r="B27" s="39" t="inlineStr">
        <is>
          <t>Compila. Pasa los 6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IF/ELSE completo y estándar para controlar TON.</t>
        </is>
      </c>
      <c r="J27" s="42" t="inlineStr">
        <is>
          <t>Actualiza IN en ambos valores y evita enclavamiento.</t>
        </is>
      </c>
      <c r="K27" s="42" t="inlineStr">
        <is>
          <t>Comentarios breves y separación clara.</t>
        </is>
      </c>
      <c r="L27" s="42" t="inlineStr">
        <is>
          <t>Tiempo literal único.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C8-1743</t>
        </is>
      </c>
      <c r="B28" s="39" t="inlineStr">
        <is>
          <t>Compila. Pasa los 6 pasos del harness.</t>
        </is>
      </c>
      <c r="C28" s="40" t="n">
        <v>3</v>
      </c>
      <c r="D28" s="41" t="n">
        <v>3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42" t="inlineStr">
        <is>
          <t>TON directo y conforme a IEC.</t>
        </is>
      </c>
      <c r="J28" s="42" t="inlineStr">
        <is>
          <t>Lógica directa, sin contradicciones.</t>
        </is>
      </c>
      <c r="K28" s="42" t="inlineStr">
        <is>
          <t>Comentarios por rama y nombres descriptivos.</t>
        </is>
      </c>
      <c r="L28" s="42" t="inlineStr">
        <is>
          <t>Retardo en una única línea.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C8-5787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TON directo y conforme a IEC.</t>
        </is>
      </c>
      <c r="J29" s="42" t="inlineStr">
        <is>
          <t>Lógica directa y completa.</t>
        </is>
      </c>
      <c r="K29" s="42" t="inlineStr">
        <is>
          <t>Estructura clara con comentarios de rama.</t>
        </is>
      </c>
      <c r="L29" s="42" t="inlineStr">
        <is>
          <t>Valor de temporización único.</t>
        </is>
      </c>
      <c r="M29" s="42" t="n"/>
      <c r="N29" s="40">
        <f>IF(COUNT(C29:G29)=5,"Completa","Falta")</f>
        <v/>
      </c>
    </row>
    <row r="30"/>
  </sheetData>
  <dataValidations count="3">
    <dataValidation sqref="C14 C16 C18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2026-10-07T06:37:28Z</dcterms:created>
  <dcterms:modified xmlns:dcterms="http://purl.org/dc/terms/" xmlns:xsi="http://www.w3.org/2001/XMLSchema-instance" xsi:type="dcterms:W3CDTF">2026-10-09T13:24:58Z</dcterms:modified>
  <cp:revision>0</cp:revision>
</cp:coreProperties>
</file>