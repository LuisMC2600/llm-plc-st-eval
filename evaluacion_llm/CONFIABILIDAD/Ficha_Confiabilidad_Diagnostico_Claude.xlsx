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ave" sheetId="2" state="visible" r:id="rId2"/>
    <sheet xmlns:r="http://schemas.openxmlformats.org/officeDocument/2006/relationships" name="C1" sheetId="3" state="visible" r:id="rId3"/>
    <sheet xmlns:r="http://schemas.openxmlformats.org/officeDocument/2006/relationships" name="C5" sheetId="4" state="visible" r:id="rId4"/>
    <sheet xmlns:r="http://schemas.openxmlformats.org/officeDocument/2006/relationships" name="C6" sheetId="5" state="visible" r:id="rId5"/>
    <sheet xmlns:r="http://schemas.openxmlformats.org/officeDocument/2006/relationships" name="C2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0"/>
    </font>
    <font>
      <name val="Arial"/>
      <family val="2"/>
      <sz val="10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6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E1 — Condición invertida: IF NOT habilitado ejecuta la secuencia cuando debería ser IF habilitado.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El TON t1 se llama con IN:=TRUE permanente y nunca se reinicia entre estados, por lo que las transiciones tras la primera son inmediatas.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El estado 3 (amarillo intermitente) es inalcanzable: ninguna transición asigna estado:=3.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parp nunca se inicializa ni se conmuta, así que el intermitente jamás parpadearía.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>Defectos reales del código que la respuesta señala y que no están en la clave. Hallazgo adicional aceptado por la clave: luzV/luzR no se apagan en el estado 3. Cuenta como hallazgo adicional válido, no como error inventado.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4" authorId="0" shapeId="0">
      <text>
        <t>E1 — Violación de interlock: en el estado 1 se activa kD y kY solo se apaga al entrar al estado 2, por lo que ambos contactores quedan activos simultáneamente durante al menos un ciclo de scan.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Tiempo muerto ausente: el temporizador t2 se declara pero nunca se usa; la conmutación estrella-triángulo ocurre sin los 100 ms exigidos.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El temporizador t1 se llama con IN := TRUE permanente y no se reinicia en el paro, de modo que tras un paro y un rearranque la transición a triángulo es inmediata.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btnParo no desactiva kM, así que el motor queda alimentado por el contactor principal después del paro.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 xml:space="preserve">Defectos reales del código que la respuesta señala y que no están en la clave. 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4" authorId="0" shapeId="0">
      <text>
        <t>E1 — División entera: rawTemp / 27648 se evalúa en aritmética INT y vale 0 para todo rawTemp entre 0 y 27647 (solo en 27648 da 1, es decir 100.0), de modo que tempC queda prácticamente siempre en 0.0; la conversión a REAL se aplica después del daño.</t>
      </text>
    </comment>
    <comment ref="C4" authorId="0" shapeId="0">
      <text>
        <t>Marca S si la corrección propuesta para E1 resolvería el defecto. Déjala en blanco si no lo detectó.</t>
      </text>
    </comment>
    <comment ref="D4" authorId="0" shapeId="0">
      <text>
        <t>E2 — La histéresis no existe: la lógica conmuta en un único umbral de 75.0 en lugar de activar en 80.0 y desactivar en 75.0, y la rama ELSIF es inalcanzable para valores por encima de 75.0.</t>
      </text>
    </comment>
    <comment ref="E4" authorId="0" shapeId="0">
      <text>
        <t>Marca S si la corrección propuesta para E2 resolvería el defecto. Déjala en blanco si no lo detectó.</t>
      </text>
    </comment>
    <comment ref="F4" authorId="0" shapeId="0">
      <text>
        <t>E3 — La detección de fuera de rango omite la condición rawTemp &lt; 0, así que un valor negativo no genera alarma.</t>
      </text>
    </comment>
    <comment ref="G4" authorId="0" shapeId="0">
      <text>
        <t>Marca S si la corrección propuesta para E3 resolvería el defecto. Déjala en blanco si no lo detectó.</t>
      </text>
    </comment>
    <comment ref="H4" authorId="0" shapeId="0">
      <text>
        <t>E4 — almSensor nunca vuelve a FALSE al regresar la señal al rango y la alarma no fuerza enfriador := FALSE como exige la especificación.</t>
      </text>
    </comment>
    <comment ref="I4" authorId="0" shapeId="0">
      <text>
        <t>Marca S si la corrección propuesta para E4 resolvería el defecto. Déjala en blanco si no lo detectó.</t>
      </text>
    </comment>
    <comment ref="J4" authorId="0" shapeId="0">
      <text>
        <t xml:space="preserve">Defectos reales del código que la respuesta señala y que no están en la clave. </t>
      </text>
    </comment>
    <comment ref="K4" authorId="0" shapeId="0">
      <text>
        <t>Cosas que la respuesta señala como error y no lo son (el código es correcto en ese punto, o contradice la especificación).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B4" authorId="0" shapeId="0">
      <text>
        <t>Entrada que indica el nivel del tanque superior (vacío / lleno). Marca S si la tabla de E/S la incluye, con cualquier nombre.</t>
      </text>
    </comment>
    <comment ref="C4" authorId="0" shapeId="0">
      <text>
        <t>Entrada que indica si el pozo tiene agua (protección de marcha en seco). Marca S si la tabla de E/S la incluye, con cualquier nombre.</t>
      </text>
    </comment>
    <comment ref="D4" authorId="0" shapeId="0">
      <text>
        <t>Entrada del botón para apagar la bomba. Marca S si la tabla de E/S la incluye, con cualquier nombre.</t>
      </text>
    </comment>
    <comment ref="E4" authorId="0" shapeId="0">
      <text>
        <t>Salida de mando de la bomba. Marca S si la tabla de E/S la incluye, con cualquier nombre.</t>
      </text>
    </comment>
    <comment ref="F4" authorId="0" shapeId="0">
      <text>
        <t>Salida de la luz que avisa cuando algo anda mal. Marca S si la tabla de E/S la incluye, con cualquier nombre.</t>
      </text>
    </comment>
    <comment ref="G4" authorId="0" shapeId="0">
      <text>
        <t>S si todos los tipos de dato de la tabla son tipos IEC 61131-3 válidos y coherentes con la señal.</t>
      </text>
    </comment>
    <comment ref="H4" authorId="0" shapeId="0">
      <text>
        <t>El tipo de POU que la respuesta recomienda.</t>
      </text>
    </comment>
    <comment ref="I4" authorId="0" shapeId="0">
      <text>
        <t>S si la justificación del tipo de POU es técnicamente coherente.</t>
      </text>
    </comment>
    <comment ref="J4" authorId="0" shapeId="0">
      <text>
        <t>A1 — Niveles como señales digitales (flotadores) o analógicas. Marca S si la respuesta plantea esta ambigüedad, con cualquier redacción.</t>
      </text>
    </comment>
    <comment ref="K4" authorId="0" shapeId="0">
      <text>
        <t>A2 — Qué significa exactamente 'tanque vacío' (histéresis entre niveles de arranque y paro). Marca S si la respuesta plantea esta ambigüedad, con cualquier redacción.</t>
      </text>
    </comment>
    <comment ref="L4" authorId="0" shapeId="0">
      <text>
        <t>A3 — Tiempo de protección por marcha en seco y si el rearme es manual o automático. Marca S si la respuesta plantea esta ambigüedad, con cualquier redacción.</t>
      </text>
    </comment>
    <comment ref="M4" authorId="0" shapeId="0">
      <text>
        <t>A4 — El 'botón para apagarla': ¿paro momentáneo o inhibición retenida? Marca S si la respuesta plantea esta ambigüedad, con cualquier redacción.</t>
      </text>
    </comment>
    <comment ref="N4" authorId="0" shapeId="0">
      <text>
        <t>A5 — Qué condiciones agrupa la luz de falla. Marca S si la respuesta plantea esta ambigüedad, con cualquier redacción.</t>
      </text>
    </comment>
    <comment ref="O4" authorId="0" shapeId="0">
      <text>
        <t>A6 — Comportamiento al recuperarse el agua del pozo. Marca S si la respuesta plantea esta ambigüedad, con cualquier redacción.</t>
      </text>
    </comment>
    <comment ref="P4" authorId="0" shapeId="0">
      <text>
        <t>Otras preguntas pertinentes al cliente que no están en la clave.</t>
      </text>
    </comment>
    <comment ref="Q4" authorId="0" shapeId="0">
      <text>
        <t>El enunciado pide no escribir código. Marca S si la respuesta incluye código ST.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22" customWidth="1" style="21" min="2" max="4"/>
  </cols>
  <sheetData>
    <row r="1" ht="17.35" customHeight="1" s="22">
      <c r="A1" s="23" t="inlineStr">
        <is>
          <t>[SEGUNDO EVALUADOR (confiabilidad, no oficial) — Claude, Anthropic] Evaluación manual a ciegas — Evaluador 1</t>
        </is>
      </c>
    </row>
    <row r="2" ht="30" customHeight="1" s="22">
      <c r="A2" s="24" t="inlineStr">
        <is>
          <t>Tesis: LLM como asistentes de programación PLC en la academia (UTP). Tareas complementarias C1, C5, C6 (diagnóstico de código) y C2 (de requisito ambiguo a especificación).</t>
        </is>
      </c>
    </row>
    <row r="3" ht="15" customHeight="1" s="22">
      <c r="A3" s="24" t="n"/>
    </row>
    <row r="4" ht="15" customHeight="1" s="22">
      <c r="A4" s="25" t="inlineStr">
        <is>
          <t>Qué hay que hacer</t>
        </is>
      </c>
    </row>
    <row r="5" ht="30" customHeight="1" s="22">
      <c r="A5" s="24" t="inlineStr">
        <is>
          <t>1. Abre el archivo Respuestas_Evaluador1.html. Contiene el enunciado de cada tarea, su clave de evaluación y las 96 respuestas, identificadas solo por un código.</t>
        </is>
      </c>
    </row>
    <row r="6" ht="30" customHeight="1" s="22">
      <c r="A6" s="24" t="inlineStr">
        <is>
          <t>2. En este libro hay una hoja por tarea (C1, C5, C6, C2). Rellena ÚNICAMENTE las celdas amarillas. Las celdas azules se calculan solas.</t>
        </is>
      </c>
    </row>
    <row r="7" ht="15" customHeight="1" s="22">
      <c r="A7" s="24" t="inlineStr">
        <is>
          <t>3. Califica una tarea completa antes de pasar a la siguiente, en el orden en que aparecen los códigos.</t>
        </is>
      </c>
    </row>
    <row r="8" ht="30" customHeight="1" s="22">
      <c r="A8" s="24" t="inlineStr">
        <is>
          <t>4. Cada pregunta se responde con S (sí) o N (no). Las columnas de conteo llevan un número entero (0 si no hay ninguno).</t>
        </is>
      </c>
    </row>
    <row r="9" ht="15" customHeight="1" s="22">
      <c r="A9" s="24" t="inlineStr">
        <is>
          <t>5. La fila gris EJEMPLO solo muestra el formato. No se analiza y no hace falta borrarla.</t>
        </is>
      </c>
    </row>
    <row r="10" ht="30" customHeight="1" s="22">
      <c r="A10" s="24" t="inlineStr">
        <is>
          <t>6. Al terminar, la tabla de avance de abajo debe mostrar todas las tareas completas. Guarda el archivo con el mismo nombre.</t>
        </is>
      </c>
    </row>
    <row r="11" ht="15" customHeight="1" s="22">
      <c r="A11" s="24" t="n"/>
    </row>
    <row r="12" ht="15" customHeight="1" s="22">
      <c r="A12" s="25" t="inlineStr">
        <is>
          <t>Reglas de calificación</t>
        </is>
      </c>
    </row>
    <row r="13" ht="30" customHeight="1" s="22">
      <c r="A13" s="24" t="inlineStr">
        <is>
          <t>Detectado (S): la respuesta identifica el mismo defecto de la clave, con cualquier redacción y aunque lo ubique en otra línea. No cuenta una mención vaga que no señale el defecto concreto.</t>
        </is>
      </c>
    </row>
    <row r="14" ht="30" customHeight="1" s="22">
      <c r="A14" s="24" t="inlineStr">
        <is>
          <t>Ítems de la clave con dos partes (por ejemplo C6-E4): se marca S si la respuesta identifica al menos una de las partes; anota en Observaciones cuál faltó.</t>
        </is>
      </c>
    </row>
    <row r="15" ht="30" customHeight="1" s="22">
      <c r="A15" s="24" t="inlineStr">
        <is>
          <t>Corrección válida (S): la corrección propuesta resolvería el defecto. Si el defecto no fue detectado, deja la celda en blanco.</t>
        </is>
      </c>
    </row>
    <row r="16" ht="30" customHeight="1" s="22">
      <c r="A16" s="24" t="inlineStr">
        <is>
          <t>Hallazgo adicional válido: un defecto real del código que no está en la clave. Error inventado: algo que la respuesta presenta como error y no lo es. Si un mismo punto se repite, cuéntalo una sola vez.</t>
        </is>
      </c>
    </row>
    <row r="17" ht="30" customHeight="1" s="22">
      <c r="A17" s="24" t="inlineStr">
        <is>
          <t>Califica lo que la respuesta dice, no lo que probablemente quiso decir. Si una respuesta está cortada, califica lo que alcanzó a entregar.</t>
        </is>
      </c>
    </row>
    <row r="18" ht="15" customHeight="1" s="22">
      <c r="A18" s="24" t="inlineStr">
        <is>
          <t>Las pautas de cada columna están en el comentario del encabezado (pasa el cursor sobre la celda azul oscuro).</t>
        </is>
      </c>
    </row>
    <row r="19" ht="15" customHeight="1" s="22">
      <c r="A19" s="24" t="n"/>
    </row>
    <row r="20" ht="15" customHeight="1" s="22">
      <c r="A20" s="25" t="inlineStr">
        <is>
          <t>Evaluación a ciegas</t>
        </is>
      </c>
    </row>
    <row r="21" ht="30" customHeight="1" s="22">
      <c r="A21" s="24" t="inlineStr">
        <is>
          <t>Los códigos no indican qué modelo ni qué estrategia produjo cada respuesta, y el orden está barajado. No consultes el archivo _SELLADO_asignacion_codigos.csv ni la carpeta de datos hasta haber terminado y entregado la ficha.</t>
        </is>
      </c>
    </row>
    <row r="22" ht="15" customHeight="1" s="22">
      <c r="A22" s="24" t="inlineStr">
        <is>
          <t>Los evaluadores califican por separado y no comentan casos concretos entre sí hasta que ambos hayan terminado.</t>
        </is>
      </c>
    </row>
    <row r="23" ht="15" customHeight="1" s="22">
      <c r="A23" s="24" t="n"/>
    </row>
    <row r="24" ht="15" customHeight="1" s="22">
      <c r="A24" s="25" t="inlineStr">
        <is>
          <t>Avance</t>
        </is>
      </c>
    </row>
    <row r="25" ht="15" customHeight="1" s="22">
      <c r="A25" s="26" t="inlineStr">
        <is>
          <t>Tarea</t>
        </is>
      </c>
      <c r="B25" s="26" t="inlineStr">
        <is>
          <t>Respuestas</t>
        </is>
      </c>
      <c r="C25" s="26" t="inlineStr">
        <is>
          <t>Completas</t>
        </is>
      </c>
      <c r="D25" s="26" t="inlineStr">
        <is>
          <t>Pendientes</t>
        </is>
      </c>
    </row>
    <row r="26" ht="15" customHeight="1" s="22">
      <c r="A26" s="27" t="inlineStr">
        <is>
          <t>C1</t>
        </is>
      </c>
      <c r="B26" s="27" t="n">
        <v>24</v>
      </c>
      <c r="C26" s="28">
        <f>COUNTIF(C1!O6:O29,"Completa")</f>
        <v/>
      </c>
      <c r="D26" s="28">
        <f>B26-C26</f>
        <v/>
      </c>
    </row>
    <row r="27" ht="15" customHeight="1" s="22">
      <c r="A27" s="27" t="inlineStr">
        <is>
          <t>C5</t>
        </is>
      </c>
      <c r="B27" s="27" t="n">
        <v>24</v>
      </c>
      <c r="C27" s="28">
        <f>COUNTIF(C5!O6:O29,"Completa")</f>
        <v/>
      </c>
      <c r="D27" s="28">
        <f>B27-C27</f>
        <v/>
      </c>
    </row>
    <row r="28" ht="15" customHeight="1" s="22">
      <c r="A28" s="27" t="inlineStr">
        <is>
          <t>C6</t>
        </is>
      </c>
      <c r="B28" s="27" t="n">
        <v>24</v>
      </c>
      <c r="C28" s="28">
        <f>COUNTIF(C6!O6:O29,"Completa")</f>
        <v/>
      </c>
      <c r="D28" s="28">
        <f>B28-C28</f>
        <v/>
      </c>
    </row>
    <row r="29" ht="15" customHeight="1" s="22">
      <c r="A29" s="27" t="inlineStr">
        <is>
          <t>C2</t>
        </is>
      </c>
      <c r="B29" s="27" t="n">
        <v>24</v>
      </c>
      <c r="C29" s="28">
        <f>COUNTIF(C2!U6:U29,"Completa")</f>
        <v/>
      </c>
      <c r="D29" s="28">
        <f>B29-C29</f>
        <v/>
      </c>
    </row>
    <row r="30" ht="15" customHeight="1" s="22">
      <c r="A30" s="29" t="inlineStr">
        <is>
          <t>Total</t>
        </is>
      </c>
      <c r="B30" s="29">
        <f>SUM(B26:B29)</f>
        <v/>
      </c>
      <c r="C30" s="29">
        <f>SUM(C26:C29)</f>
        <v/>
      </c>
      <c r="D30" s="29">
        <f>SUM(D26:D29)</f>
        <v/>
      </c>
    </row>
    <row r="32" ht="15" customHeight="1" s="22">
      <c r="A32" s="30" t="inlineStr">
        <is>
          <t>Nombre del evaluador:</t>
        </is>
      </c>
      <c r="B32" s="31" t="n"/>
    </row>
    <row r="33" ht="15" customHeight="1" s="22">
      <c r="A33" s="30" t="inlineStr">
        <is>
          <t>Fecha de calificación:</t>
        </is>
      </c>
      <c r="B33" s="31" t="n"/>
    </row>
  </sheetData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22" customWidth="1" style="21" min="2" max="2"/>
    <col width="110" customWidth="1" style="21" min="3" max="3"/>
  </cols>
  <sheetData>
    <row r="1" ht="16.15" customHeight="1" s="22">
      <c r="A1" s="32" t="inlineStr">
        <is>
          <t>[SEGUNDO EVALUADOR (confiabilidad, no oficial) — Claude, Anthropic] Clave de evaluación (la misma que acompaña a cada tarea en el archivo HTML)</t>
        </is>
      </c>
    </row>
    <row r="2" ht="30" customHeight="1" s="22">
      <c r="A2" s="33" t="inlineStr">
        <is>
          <t>Fuente: clave de evaluación definida con el banco de tareas (src/generar_prompts.py), que nunca se envió a los modelos. Los ítems de E/S y de POU de C2 se derivan del propio requisito del cliente.</t>
        </is>
      </c>
    </row>
    <row r="4" ht="15" customHeight="1" s="22">
      <c r="A4" s="26" t="inlineStr">
        <is>
          <t>Tarea</t>
        </is>
      </c>
      <c r="B4" s="26" t="inlineStr">
        <is>
          <t>Ítem</t>
        </is>
      </c>
      <c r="C4" s="26" t="inlineStr">
        <is>
          <t>Descripción</t>
        </is>
      </c>
    </row>
    <row r="5" ht="18.75" customHeight="1" s="22">
      <c r="A5" s="34" t="inlineStr">
        <is>
          <t>C1</t>
        </is>
      </c>
      <c r="B5" s="34" t="inlineStr">
        <is>
          <t>E1</t>
        </is>
      </c>
      <c r="C5" s="35" t="inlineStr">
        <is>
          <t>Condición invertida: IF NOT habilitado ejecuta la secuencia cuando debería ser IF habilitado.</t>
        </is>
      </c>
    </row>
    <row r="6" ht="33.75" customHeight="1" s="22">
      <c r="A6" s="34" t="inlineStr">
        <is>
          <t>C1</t>
        </is>
      </c>
      <c r="B6" s="34" t="inlineStr">
        <is>
          <t>E2</t>
        </is>
      </c>
      <c r="C6" s="35" t="inlineStr">
        <is>
          <t>El TON t1 se llama con IN:=TRUE permanente y nunca se reinicia entre estados, por lo que las transiciones tras la primera son inmediatas.</t>
        </is>
      </c>
    </row>
    <row r="7" ht="18.75" customHeight="1" s="22">
      <c r="A7" s="34" t="inlineStr">
        <is>
          <t>C1</t>
        </is>
      </c>
      <c r="B7" s="34" t="inlineStr">
        <is>
          <t>E3</t>
        </is>
      </c>
      <c r="C7" s="35" t="inlineStr">
        <is>
          <t>El estado 3 (amarillo intermitente) es inalcanzable: ninguna transición asigna estado:=3.</t>
        </is>
      </c>
    </row>
    <row r="8" ht="18.75" customHeight="1" s="22">
      <c r="A8" s="34" t="inlineStr">
        <is>
          <t>C1</t>
        </is>
      </c>
      <c r="B8" s="34" t="inlineStr">
        <is>
          <t>E4</t>
        </is>
      </c>
      <c r="C8" s="35" t="inlineStr">
        <is>
          <t>parp nunca se inicializa ni se conmuta, así que el intermitente jamás parpadearía.</t>
        </is>
      </c>
    </row>
    <row r="9" ht="33.75" customHeight="1" s="22">
      <c r="A9" s="34" t="inlineStr">
        <is>
          <t>C1</t>
        </is>
      </c>
      <c r="B9" s="34" t="inlineStr">
        <is>
          <t>Extra</t>
        </is>
      </c>
      <c r="C9" s="35" t="inlineStr">
        <is>
          <t>Hallazgo adicional aceptado por la clave: luzV/luzR no se apagan en el estado 3. Cuenta como hallazgo adicional válido, no como error inventado.</t>
        </is>
      </c>
    </row>
    <row r="10" ht="33.75" customHeight="1" s="22">
      <c r="A10" s="34" t="inlineStr">
        <is>
          <t>C5</t>
        </is>
      </c>
      <c r="B10" s="34" t="inlineStr">
        <is>
          <t>E1</t>
        </is>
      </c>
      <c r="C10" s="35" t="inlineStr">
        <is>
          <t>Violación de interlock: en el estado 1 se activa kD y kY solo se apaga al entrar al estado 2, por lo que ambos contactores quedan activos simultáneamente durante al menos un ciclo de scan.</t>
        </is>
      </c>
    </row>
    <row r="11" ht="33.75" customHeight="1" s="22">
      <c r="A11" s="34" t="inlineStr">
        <is>
          <t>C5</t>
        </is>
      </c>
      <c r="B11" s="34" t="inlineStr">
        <is>
          <t>E2</t>
        </is>
      </c>
      <c r="C11" s="35" t="inlineStr">
        <is>
          <t>Tiempo muerto ausente: el temporizador t2 se declara pero nunca se usa; la conmutación estrella-triángulo ocurre sin los 100 ms exigidos.</t>
        </is>
      </c>
    </row>
    <row r="12" ht="33.75" customHeight="1" s="22">
      <c r="A12" s="34" t="inlineStr">
        <is>
          <t>C5</t>
        </is>
      </c>
      <c r="B12" s="34" t="inlineStr">
        <is>
          <t>E3</t>
        </is>
      </c>
      <c r="C12" s="35" t="inlineStr">
        <is>
          <t>El temporizador t1 se llama con IN := TRUE permanente y no se reinicia en el paro, de modo que tras un paro y un rearranque la transición a triángulo es inmediata.</t>
        </is>
      </c>
    </row>
    <row r="13" ht="33.75" customHeight="1" s="22">
      <c r="A13" s="34" t="inlineStr">
        <is>
          <t>C5</t>
        </is>
      </c>
      <c r="B13" s="34" t="inlineStr">
        <is>
          <t>E4</t>
        </is>
      </c>
      <c r="C13" s="35" t="inlineStr">
        <is>
          <t>btnParo no desactiva kM, así que el motor queda alimentado por el contactor principal después del paro.</t>
        </is>
      </c>
    </row>
    <row r="14" ht="48.75" customHeight="1" s="22">
      <c r="A14" s="34" t="inlineStr">
        <is>
          <t>C6</t>
        </is>
      </c>
      <c r="B14" s="34" t="inlineStr">
        <is>
          <t>E1</t>
        </is>
      </c>
      <c r="C14" s="35" t="inlineStr">
        <is>
          <t>División entera: rawTemp / 27648 se evalúa en aritmética INT y vale 0 para todo rawTemp entre 0 y 27647 (solo en 27648 da 1, es decir 100.0), de modo que tempC queda prácticamente siempre en 0.0; la conversión a REAL se aplica después del daño.</t>
        </is>
      </c>
    </row>
    <row r="15" ht="33.75" customHeight="1" s="22">
      <c r="A15" s="34" t="inlineStr">
        <is>
          <t>C6</t>
        </is>
      </c>
      <c r="B15" s="34" t="inlineStr">
        <is>
          <t>E2</t>
        </is>
      </c>
      <c r="C15" s="35" t="inlineStr">
        <is>
          <t>La histéresis no existe: la lógica conmuta en un único umbral de 75.0 en lugar de activar en 80.0 y desactivar en 75.0, y la rama ELSIF es inalcanzable para valores por encima de 75.0.</t>
        </is>
      </c>
    </row>
    <row r="16" ht="33.75" customHeight="1" s="22">
      <c r="A16" s="34" t="inlineStr">
        <is>
          <t>C6</t>
        </is>
      </c>
      <c r="B16" s="34" t="inlineStr">
        <is>
          <t>E3</t>
        </is>
      </c>
      <c r="C16" s="35" t="inlineStr">
        <is>
          <t>La detección de fuera de rango omite la condición rawTemp &lt; 0, así que un valor negativo no genera alarma.</t>
        </is>
      </c>
    </row>
    <row r="17" ht="33.75" customHeight="1" s="22">
      <c r="A17" s="34" t="inlineStr">
        <is>
          <t>C6</t>
        </is>
      </c>
      <c r="B17" s="34" t="inlineStr">
        <is>
          <t>E4</t>
        </is>
      </c>
      <c r="C17" s="35" t="inlineStr">
        <is>
          <t>almSensor nunca vuelve a FALSE al regresar la señal al rango y la alarma no fuerza enfriador := FALSE como exige la especificación.</t>
        </is>
      </c>
    </row>
    <row r="18" ht="18.75" customHeight="1" s="22">
      <c r="A18" s="34" t="inlineStr">
        <is>
          <t>C2</t>
        </is>
      </c>
      <c r="B18" s="34" t="inlineStr">
        <is>
          <t>E/S: Nivel del tanque</t>
        </is>
      </c>
      <c r="C18" s="35" t="inlineStr">
        <is>
          <t>Entrada que indica el nivel del tanque superior (vacío / lleno).</t>
        </is>
      </c>
    </row>
    <row r="19" ht="18.75" customHeight="1" s="22">
      <c r="A19" s="34" t="inlineStr">
        <is>
          <t>C2</t>
        </is>
      </c>
      <c r="B19" s="34" t="inlineStr">
        <is>
          <t>E/S: Agua en el pozo</t>
        </is>
      </c>
      <c r="C19" s="35" t="inlineStr">
        <is>
          <t>Entrada que indica si el pozo tiene agua (protección de marcha en seco).</t>
        </is>
      </c>
    </row>
    <row r="20" ht="18.75" customHeight="1" s="22">
      <c r="A20" s="34" t="inlineStr">
        <is>
          <t>C2</t>
        </is>
      </c>
      <c r="B20" s="34" t="inlineStr">
        <is>
          <t>E/S: Botón de paro</t>
        </is>
      </c>
      <c r="C20" s="35" t="inlineStr">
        <is>
          <t>Entrada del botón para apagar la bomba.</t>
        </is>
      </c>
    </row>
    <row r="21" ht="18.75" customHeight="1" s="22">
      <c r="A21" s="34" t="inlineStr">
        <is>
          <t>C2</t>
        </is>
      </c>
      <c r="B21" s="34" t="inlineStr">
        <is>
          <t>E/S: Bomba</t>
        </is>
      </c>
      <c r="C21" s="35" t="inlineStr">
        <is>
          <t>Salida de mando de la bomba.</t>
        </is>
      </c>
    </row>
    <row r="22" ht="18.75" customHeight="1" s="22">
      <c r="A22" s="34" t="inlineStr">
        <is>
          <t>C2</t>
        </is>
      </c>
      <c r="B22" s="34" t="inlineStr">
        <is>
          <t>E/S: Luz de aviso</t>
        </is>
      </c>
      <c r="C22" s="35" t="inlineStr">
        <is>
          <t>Salida de la luz que avisa cuando algo anda mal.</t>
        </is>
      </c>
    </row>
    <row r="23" ht="18.75" customHeight="1" s="22">
      <c r="A23" s="34" t="inlineStr">
        <is>
          <t>C2</t>
        </is>
      </c>
      <c r="B23" s="34" t="inlineStr">
        <is>
          <t>A1</t>
        </is>
      </c>
      <c r="C23" s="35" t="inlineStr">
        <is>
          <t>Niveles como señales digitales (flotadores) o analógicas.</t>
        </is>
      </c>
    </row>
    <row r="24" ht="18.75" customHeight="1" s="22">
      <c r="A24" s="34" t="inlineStr">
        <is>
          <t>C2</t>
        </is>
      </c>
      <c r="B24" s="34" t="inlineStr">
        <is>
          <t>A2</t>
        </is>
      </c>
      <c r="C24" s="35" t="inlineStr">
        <is>
          <t>Qué significa exactamente 'tanque vacío' (histéresis entre niveles de arranque y paro).</t>
        </is>
      </c>
    </row>
    <row r="25" ht="18.75" customHeight="1" s="22">
      <c r="A25" s="34" t="inlineStr">
        <is>
          <t>C2</t>
        </is>
      </c>
      <c r="B25" s="34" t="inlineStr">
        <is>
          <t>A3</t>
        </is>
      </c>
      <c r="C25" s="35" t="inlineStr">
        <is>
          <t>Tiempo de protección por marcha en seco y si el rearme es manual o automático.</t>
        </is>
      </c>
    </row>
    <row r="26" ht="18.75" customHeight="1" s="22">
      <c r="A26" s="34" t="inlineStr">
        <is>
          <t>C2</t>
        </is>
      </c>
      <c r="B26" s="34" t="inlineStr">
        <is>
          <t>A4</t>
        </is>
      </c>
      <c r="C26" s="35" t="inlineStr">
        <is>
          <t>El 'botón para apagarla': ¿paro momentáneo o inhibición retenida?</t>
        </is>
      </c>
    </row>
    <row r="27" ht="18.75" customHeight="1" s="22">
      <c r="A27" s="34" t="inlineStr">
        <is>
          <t>C2</t>
        </is>
      </c>
      <c r="B27" s="34" t="inlineStr">
        <is>
          <t>A5</t>
        </is>
      </c>
      <c r="C27" s="35" t="inlineStr">
        <is>
          <t>Qué condiciones agrupa la luz de falla.</t>
        </is>
      </c>
    </row>
    <row r="28" ht="18.75" customHeight="1" s="22">
      <c r="A28" s="34" t="inlineStr">
        <is>
          <t>C2</t>
        </is>
      </c>
      <c r="B28" s="34" t="inlineStr">
        <is>
          <t>A6</t>
        </is>
      </c>
      <c r="C28" s="35" t="inlineStr">
        <is>
          <t>Comportamiento al recuperarse el agua del pozo.</t>
        </is>
      </c>
    </row>
  </sheetData>
  <mergeCells count="1"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[SEGUNDO EVALUADOR (confiabilidad, no oficial) — Claude, Anthropic] C1 — Diagnóstico de código con errores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Condición invertida</t>
        </is>
      </c>
      <c r="C4" s="26" t="inlineStr">
        <is>
          <t>E1 corrección válida</t>
        </is>
      </c>
      <c r="D4" s="26" t="inlineStr">
        <is>
          <t>E2 detectado
TON sin reinicio</t>
        </is>
      </c>
      <c r="E4" s="26" t="inlineStr">
        <is>
          <t>E2 corrección válida</t>
        </is>
      </c>
      <c r="F4" s="26" t="inlineStr">
        <is>
          <t>E3 detectado
Estado 3 inalcanzable</t>
        </is>
      </c>
      <c r="G4" s="26" t="inlineStr">
        <is>
          <t>E3 corrección válida</t>
        </is>
      </c>
      <c r="H4" s="26" t="inlineStr">
        <is>
          <t>E4 detectado
parp no conmuta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C1-130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N</t>
        </is>
      </c>
      <c r="E6" s="40" t="n"/>
      <c r="F6" s="40" t="inlineStr">
        <is>
          <t>N</t>
        </is>
      </c>
      <c r="G6" s="40" t="n"/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2</v>
      </c>
      <c r="L6" s="41" t="inlineStr">
        <is>
          <t>E1 y E4 correctos; TON mal diagnosticado (dice que se reinicia cada ciclo, sin IN:=FALSE); no señala estado 3 inalcanzable; inventa falta de init de estado y propone mover el ELSE de forma incoherente.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C1-146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N</t>
        </is>
      </c>
      <c r="G7" s="40" t="n"/>
      <c r="H7" s="40" t="inlineStr">
        <is>
          <t>S</t>
        </is>
      </c>
      <c r="I7" s="40" t="inlineStr">
        <is>
          <t>S</t>
        </is>
      </c>
      <c r="J7" s="40" t="n">
        <v>1</v>
      </c>
      <c r="K7" s="40" t="n">
        <v>1</v>
      </c>
      <c r="L7" s="41" t="inlineStr">
        <is>
          <t>Diagnóstico del TON erróneo pero corrección IN:=FALSE/TRUE válida; no detecta estado 3 inalcanzable (solo falta de salida, contado como adicional); init de estado inventada.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C1-110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N</t>
        </is>
      </c>
      <c r="E8" s="40" t="n"/>
      <c r="F8" s="40" t="inlineStr">
        <is>
          <t>S</t>
        </is>
      </c>
      <c r="G8" s="40" t="inlineStr">
        <is>
          <t>N</t>
        </is>
      </c>
      <c r="H8" s="40" t="inlineStr">
        <is>
          <t>S</t>
        </is>
      </c>
      <c r="I8" s="40" t="inlineStr">
        <is>
          <t>S</t>
        </is>
      </c>
      <c r="J8" s="40" t="n">
        <v>1</v>
      </c>
      <c r="K8" s="40" t="n">
        <v>0</v>
      </c>
      <c r="L8" s="41" t="inlineStr">
        <is>
          <t>TON mal diagnosticado y corrección 'llamar una sola vez' no sirve; asignar estado 3 'antes del ELSE' no ejecuta el CASE; reinicio al rehabilitar como adicional.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C1-138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N</t>
        </is>
      </c>
      <c r="G9" s="40" t="n"/>
      <c r="H9" s="40" t="inlineStr">
        <is>
          <t>S</t>
        </is>
      </c>
      <c r="I9" s="40" t="inlineStr">
        <is>
          <t>S</t>
        </is>
      </c>
      <c r="J9" s="40" t="n">
        <v>0</v>
      </c>
      <c r="K9" s="40" t="n">
        <v>0</v>
      </c>
      <c r="L9" s="41" t="inlineStr">
        <is>
          <t>Detecta E1, E2, E4; sobre el estado 3 solo pide que se ejecute al deshabilitar sin señalar que ninguna transición lo alcanza.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C1-178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1</v>
      </c>
      <c r="K10" s="40" t="n">
        <v>0</v>
      </c>
      <c r="L10" s="41" t="inlineStr">
        <is>
          <t>Detecta los cuatro con correcciones válidas; añade reinicio de estado/t1 al deshabilitar.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C1-180</t>
        </is>
      </c>
      <c r="B11" s="40" t="inlineStr">
        <is>
          <t>S</t>
        </is>
      </c>
      <c r="C11" s="40" t="inlineStr">
        <is>
          <t>S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S</t>
        </is>
      </c>
      <c r="J11" s="40" t="n">
        <v>0</v>
      </c>
      <c r="K11" s="40" t="n">
        <v>2</v>
      </c>
      <c r="L11" s="41" t="inlineStr">
        <is>
          <t>Cuatro errores con correcciones válidas; luzR en estado 1 y luzV en estado 2 no son defectos (el estado previo ya las apaga).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C1-173</t>
        </is>
      </c>
      <c r="B12" s="40" t="inlineStr">
        <is>
          <t>N</t>
        </is>
      </c>
      <c r="C12" s="40" t="n"/>
      <c r="D12" s="40" t="inlineStr">
        <is>
          <t>S</t>
        </is>
      </c>
      <c r="E12" s="40" t="inlineStr">
        <is>
          <t>N</t>
        </is>
      </c>
      <c r="F12" s="40" t="inlineStr">
        <is>
          <t>S</t>
        </is>
      </c>
      <c r="G12" s="40" t="inlineStr">
        <is>
          <t>N</t>
        </is>
      </c>
      <c r="H12" s="40" t="inlineStr">
        <is>
          <t>S</t>
        </is>
      </c>
      <c r="I12" s="40" t="inlineStr">
        <is>
          <t>N</t>
        </is>
      </c>
      <c r="J12" s="40" t="n">
        <v>1</v>
      </c>
      <c r="K12" s="40" t="n">
        <v>3</v>
      </c>
      <c r="L12" s="41" t="inlineStr">
        <is>
          <t>No detecta condición invertida; reinicios de t1 incondicionales impedirían contar; transición a 3 arbitraria y parp:=NOT parp por scan; init de estado/t1 y reset en estado 3 inventados.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C1-113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2</v>
      </c>
      <c r="L13" s="41" t="inlineStr">
        <is>
          <t>Cuatro errores correctos; luzR en estado 1 y luzV en estado 2 presentados como errores sin serlo.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C1-136</t>
        </is>
      </c>
      <c r="B14" s="40" t="inlineStr">
        <is>
          <t>N</t>
        </is>
      </c>
      <c r="C14" s="40" t="n"/>
      <c r="D14" s="40" t="inlineStr">
        <is>
          <t>N</t>
        </is>
      </c>
      <c r="E14" s="40" t="n"/>
      <c r="F14" s="40" t="inlineStr">
        <is>
          <t>S</t>
        </is>
      </c>
      <c r="G14" s="40" t="inlineStr">
        <is>
          <t>N</t>
        </is>
      </c>
      <c r="H14" s="40" t="inlineStr">
        <is>
          <t>S</t>
        </is>
      </c>
      <c r="I14" s="40" t="inlineStr">
        <is>
          <t>N</t>
        </is>
      </c>
      <c r="J14" s="40" t="n">
        <v>0</v>
      </c>
      <c r="K14" s="40" t="n">
        <v>2</v>
      </c>
      <c r="L14" s="41" t="inlineStr">
        <is>
          <t>No detecta E1 ni E2 concreto; propone eliminar estado 3 y parp; exige parpadeo en el amarillo de 4 s, contra la especificación (repetido).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C1-117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S</t>
        </is>
      </c>
      <c r="F15" s="40" t="inlineStr">
        <is>
          <t>N</t>
        </is>
      </c>
      <c r="G15" s="40" t="n"/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0</v>
      </c>
      <c r="L15" s="41" t="inlineStr">
        <is>
          <t>E2 detectado en el ítem 4 con IN:=FALSE (el ítem 2 lo diagnostica mal); no afirma que el estado 3 sea inalcanzable.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C1-165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1</v>
      </c>
      <c r="K16" s="40" t="n">
        <v>0</v>
      </c>
      <c r="L16" s="41" t="inlineStr">
        <is>
          <t>Los cuatro con correcciones válidas (intermitente en rama ELSE); añade reinicio de estado al rehabilitar.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C1-172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2</v>
      </c>
      <c r="L17" s="41" t="inlineStr">
        <is>
          <t>Cuatro errores con correcciones válidas; luzR en estado 1 y luzV en estado 2 no son defectos reales.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C1-114</t>
        </is>
      </c>
      <c r="B18" s="40" t="inlineStr">
        <is>
          <t>N</t>
        </is>
      </c>
      <c r="C18" s="40" t="n"/>
      <c r="D18" s="40" t="inlineStr">
        <is>
          <t>N</t>
        </is>
      </c>
      <c r="E18" s="40" t="n"/>
      <c r="F18" s="40" t="inlineStr">
        <is>
          <t>S</t>
        </is>
      </c>
      <c r="G18" s="40" t="inlineStr">
        <is>
          <t>N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1</v>
      </c>
      <c r="L18" s="41" t="inlineStr">
        <is>
          <t>Omite condición invertida y TON; transición al estado 3 desde el rojo altera el ciclo especificado; init de estado inventada.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C1-184</t>
        </is>
      </c>
      <c r="B19" s="40" t="inlineStr">
        <is>
          <t>N</t>
        </is>
      </c>
      <c r="C19" s="40" t="n"/>
      <c r="D19" s="40" t="inlineStr">
        <is>
          <t>N</t>
        </is>
      </c>
      <c r="E19" s="40" t="n"/>
      <c r="F19" s="40" t="inlineStr">
        <is>
          <t>S</t>
        </is>
      </c>
      <c r="G19" s="40" t="inlineStr">
        <is>
          <t>N</t>
        </is>
      </c>
      <c r="H19" s="40" t="inlineStr">
        <is>
          <t>S</t>
        </is>
      </c>
      <c r="I19" s="40" t="inlineStr">
        <is>
          <t>N</t>
        </is>
      </c>
      <c r="J19" s="40" t="n">
        <v>1</v>
      </c>
      <c r="K19" s="40" t="n">
        <v>0</v>
      </c>
      <c r="L19" s="41" t="inlineStr">
        <is>
          <t>No identifica la inversión ni el TON; propone eliminar estado 3 y parpadear en estado 1; reinicio de t1/estado al deshabilitar como adicional.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C1-161</t>
        </is>
      </c>
      <c r="B20" s="40" t="inlineStr">
        <is>
          <t>N</t>
        </is>
      </c>
      <c r="C20" s="40" t="n"/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N</t>
        </is>
      </c>
      <c r="H20" s="40" t="inlineStr">
        <is>
          <t>S</t>
        </is>
      </c>
      <c r="I20" s="40" t="inlineStr">
        <is>
          <t>S</t>
        </is>
      </c>
      <c r="J20" s="40" t="n">
        <v>1</v>
      </c>
      <c r="K20" s="40" t="n">
        <v>2</v>
      </c>
      <c r="L20" s="41" t="inlineStr">
        <is>
          <t>Omite E1; E4 detectado de forma genérica (parpadeo no implementado); elimina estado 3; confunde amarillo de 4 s con intermitente e inventa init de estado.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C1-101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1</v>
      </c>
      <c r="K21" s="40" t="n">
        <v>1</v>
      </c>
      <c r="L21" s="41" t="inlineStr">
        <is>
          <t>Cuatro errores correctos e incluye luces no apagadas en estado 3 (adicional aceptado); luzR en estado 1 no es defecto.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C1-125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2</v>
      </c>
      <c r="L22" s="41" t="inlineStr">
        <is>
          <t>Cuatro errores con correcciones válidas; luzR en estado 1 y luzV en estado 2 no son defectos.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C1-116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1</v>
      </c>
      <c r="K23" s="40" t="n">
        <v>0</v>
      </c>
      <c r="L23" s="41" t="inlineStr">
        <is>
          <t>Los cuatro detectados en tres ítems con correcciones válidas; añade reinicio al rehabilitar.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C1-170</t>
        </is>
      </c>
      <c r="B24" s="40" t="inlineStr">
        <is>
          <t>N</t>
        </is>
      </c>
      <c r="C24" s="40" t="n"/>
      <c r="D24" s="40" t="inlineStr">
        <is>
          <t>N</t>
        </is>
      </c>
      <c r="E24" s="40" t="n"/>
      <c r="F24" s="40" t="inlineStr">
        <is>
          <t>N</t>
        </is>
      </c>
      <c r="G24" s="40" t="n"/>
      <c r="H24" s="40" t="inlineStr">
        <is>
          <t>S</t>
        </is>
      </c>
      <c r="I24" s="40" t="inlineStr">
        <is>
          <t>S</t>
        </is>
      </c>
      <c r="J24" s="40" t="n">
        <v>1</v>
      </c>
      <c r="K24" s="40" t="n">
        <v>2</v>
      </c>
      <c r="L24" s="41" t="inlineStr">
        <is>
          <t>No detecta inversión, TON ni inalcanzabilidad concreta; E4 de forma genérica; init de estado y t1 inventadas; reinicio al rehabilitar como adicional.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C1-122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N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1</v>
      </c>
      <c r="L25" s="41" t="inlineStr">
        <is>
          <t>E2 aceptado (IN:=FALSE al cambiar de estado) pese a mal diagnóstico; activar estado 3 con habilitado FALSE no ejecuta el CASE; init de estado inventada.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C1-123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1</v>
      </c>
      <c r="L26" s="41" t="inlineStr">
        <is>
          <t>Cuatro errores correctos; afirma que el estado 2 no apaga luzA, lo cual es falso.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C1-115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1</v>
      </c>
      <c r="K27" s="40" t="n">
        <v>0</v>
      </c>
      <c r="L27" s="41" t="inlineStr">
        <is>
          <t>Los cuatro con correcciones válidas (intermitente en ELSE); añade reinicio de estado/t1 al deshabilitar.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C1-141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S</t>
        </is>
      </c>
      <c r="I28" s="40" t="inlineStr">
        <is>
          <t>S</t>
        </is>
      </c>
      <c r="J28" s="40" t="n">
        <v>1</v>
      </c>
      <c r="K28" s="40" t="n">
        <v>0</v>
      </c>
      <c r="L28" s="41" t="inlineStr">
        <is>
          <t>Los cuatro con correcciones válidas; añade reinicio de la máquina de estados al deshabilitar.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C1-126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S</t>
        </is>
      </c>
      <c r="I29" s="40" t="inlineStr">
        <is>
          <t>S</t>
        </is>
      </c>
      <c r="J29" s="40" t="n">
        <v>1</v>
      </c>
      <c r="K29" s="40" t="n">
        <v>0</v>
      </c>
      <c r="L29" s="41" t="inlineStr">
        <is>
          <t>Los cuatro con correcciones válidas; añade reinicio de estado/t1 al deshabilitar.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[SEGUNDO EVALUADOR (confiabilidad, no oficial) — Claude, Anthropic] C5 — Diagnóstico de arranque estrella-triángulo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Interlock kY/kD</t>
        </is>
      </c>
      <c r="C4" s="26" t="inlineStr">
        <is>
          <t>E1 corrección válida</t>
        </is>
      </c>
      <c r="D4" s="26" t="inlineStr">
        <is>
          <t>E2 detectado
Tiempo muerto ausente</t>
        </is>
      </c>
      <c r="E4" s="26" t="inlineStr">
        <is>
          <t>E2 corrección válida</t>
        </is>
      </c>
      <c r="F4" s="26" t="inlineStr">
        <is>
          <t>E3 detectado
t1 sin reinicio en paro</t>
        </is>
      </c>
      <c r="G4" s="26" t="inlineStr">
        <is>
          <t>E3 corrección válida</t>
        </is>
      </c>
      <c r="H4" s="26" t="inlineStr">
        <is>
          <t>E4 detectado
Paro no apaga kM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C5-147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N</t>
        </is>
      </c>
      <c r="G6" s="40" t="n"/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1</v>
      </c>
      <c r="L6" s="41" t="inlineStr">
        <is>
          <t>E1-E2-E4 bien; el punto 5 (t1 'activado continuamente') no es E3 y es un falso error.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C5-162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N</t>
        </is>
      </c>
      <c r="G7" s="40" t="n"/>
      <c r="H7" s="40" t="inlineStr">
        <is>
          <t>S</t>
        </is>
      </c>
      <c r="I7" s="40" t="inlineStr">
        <is>
          <t>S</t>
        </is>
      </c>
      <c r="J7" s="40" t="n">
        <v>0</v>
      </c>
      <c r="K7" s="40" t="n">
        <v>1</v>
      </c>
      <c r="L7" s="41" t="inlineStr">
        <is>
          <t>Afirma que t1 se resetea indirectamente al salir del estado 1 (contradice E3); 'estado 2 bloqueado' no es error.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C5-131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N</t>
        </is>
      </c>
      <c r="F8" s="40" t="inlineStr">
        <is>
          <t>N</t>
        </is>
      </c>
      <c r="G8" s="40" t="n"/>
      <c r="H8" s="40" t="inlineStr">
        <is>
          <t>S</t>
        </is>
      </c>
      <c r="I8" s="40" t="inlineStr">
        <is>
          <t>S</t>
        </is>
      </c>
      <c r="J8" s="40" t="n">
        <v>0</v>
      </c>
      <c r="K8" s="40" t="n">
        <v>1</v>
      </c>
      <c r="L8" s="41" t="inlineStr">
        <is>
          <t>Código propuesto llama t3 solo una vez y nunca lo vuelve a evaluar: kD no se activaría; 'kD no se mantiene en estado 2' es falso.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C5-181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N</t>
        </is>
      </c>
      <c r="I9" s="40" t="n"/>
      <c r="J9" s="40" t="n">
        <v>0</v>
      </c>
      <c r="K9" s="40" t="n">
        <v>5</v>
      </c>
      <c r="L9" s="41" t="inlineStr">
        <is>
          <t>Detecta falta de reset de t1; ítems 5-9 son falsos errores; kM:=FALSE en estado 0 no se vincula al paro.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C5-144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0</v>
      </c>
      <c r="K10" s="40" t="n">
        <v>1</v>
      </c>
      <c r="L10" s="41" t="inlineStr">
        <is>
          <t>Detecta los 4; 'estado no inicializado' es falso (INT inicia en 0).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C5-134</t>
        </is>
      </c>
      <c r="B11" s="40" t="inlineStr">
        <is>
          <t>S</t>
        </is>
      </c>
      <c r="C11" s="40" t="inlineStr">
        <is>
          <t>S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S</t>
        </is>
      </c>
      <c r="J11" s="40" t="n">
        <v>0</v>
      </c>
      <c r="K11" s="40" t="n">
        <v>0</v>
      </c>
      <c r="L11" s="41" t="inlineStr">
        <is>
          <t>Completa y precisa en los 4 errores.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C5-107</t>
        </is>
      </c>
      <c r="B12" s="40" t="inlineStr">
        <is>
          <t>S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S</t>
        </is>
      </c>
      <c r="I12" s="40" t="inlineStr">
        <is>
          <t>S</t>
        </is>
      </c>
      <c r="J12" s="40" t="n">
        <v>0</v>
      </c>
      <c r="K12" s="40" t="n">
        <v>0</v>
      </c>
      <c r="L12" s="41" t="inlineStr">
        <is>
          <t>Los 4 detectados; t2 sin uso repetido como parte de E2.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C5-128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1</v>
      </c>
      <c r="L13" s="41" t="inlineStr">
        <is>
          <t>Los 4 bien; afirma falsamente que en estado 2 el motor queda sin contactor de marcha (kD ya quedó activo).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C5-108</t>
        </is>
      </c>
      <c r="B14" s="40" t="inlineStr">
        <is>
          <t>N</t>
        </is>
      </c>
      <c r="C14" s="40" t="n"/>
      <c r="D14" s="40" t="inlineStr">
        <is>
          <t>S</t>
        </is>
      </c>
      <c r="E14" s="40" t="inlineStr">
        <is>
          <t>S</t>
        </is>
      </c>
      <c r="F14" s="40" t="inlineStr">
        <is>
          <t>N</t>
        </is>
      </c>
      <c r="G14" s="40" t="n"/>
      <c r="H14" s="40" t="inlineStr">
        <is>
          <t>N</t>
        </is>
      </c>
      <c r="I14" s="40" t="n"/>
      <c r="J14" s="40" t="n">
        <v>0</v>
      </c>
      <c r="K14" s="40" t="n">
        <v>4</v>
      </c>
      <c r="L14" s="41" t="inlineStr">
        <is>
          <t>Solo detecta el tiempo muerto; inicializaciones de t1/t2 y casos de paro/marcha son falsos errores repetidos.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C5-104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N</t>
        </is>
      </c>
      <c r="F15" s="40" t="inlineStr">
        <is>
          <t>N</t>
        </is>
      </c>
      <c r="G15" s="40" t="n"/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1</v>
      </c>
      <c r="L15" s="41" t="inlineStr">
        <is>
          <t>Corrección del tiempo muerto con t3 retrasa ambos cambios a la vez, no separa kY de kD; 'asegurar kD en estado 2' es falso.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C5-185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0</v>
      </c>
      <c r="K16" s="40" t="n">
        <v>0</v>
      </c>
      <c r="L16" s="41" t="inlineStr">
        <is>
          <t>Los 4 correctos, E1 y E2 combinados en el punto 1.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C5-106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0</v>
      </c>
      <c r="L17" s="41" t="inlineStr">
        <is>
          <t>Completa y precisa en los 4 errores.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C5-103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0</v>
      </c>
      <c r="L18" s="41" t="inlineStr">
        <is>
          <t>Completa y precisa en los 4 errores.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C5-102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S</t>
        </is>
      </c>
      <c r="I19" s="40" t="inlineStr">
        <is>
          <t>S</t>
        </is>
      </c>
      <c r="J19" s="40" t="n">
        <v>0</v>
      </c>
      <c r="K19" s="40" t="n">
        <v>3</v>
      </c>
      <c r="L19" s="41" t="inlineStr">
        <is>
          <t>Cortada; los 4 detectados (E3 como 'no se reinicia t1 al pulsar marcha'); el punto 3 invierte el orden kY/kD y los ítems repetidos de paro/marcha son falsos.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C5-160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N</t>
        </is>
      </c>
      <c r="G20" s="40" t="n"/>
      <c r="H20" s="40" t="inlineStr">
        <is>
          <t>S</t>
        </is>
      </c>
      <c r="I20" s="40" t="inlineStr">
        <is>
          <t>S</t>
        </is>
      </c>
      <c r="J20" s="40" t="n">
        <v>0</v>
      </c>
      <c r="K20" s="40" t="n">
        <v>2</v>
      </c>
      <c r="L20" s="41" t="inlineStr">
        <is>
          <t>Falsos errores: t1 'nunca alcanza 8 s' por llamarse cada ciclo y falta de regreso al estado 0; no detecta E3.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C5-133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0</v>
      </c>
      <c r="K21" s="40" t="n">
        <v>1</v>
      </c>
      <c r="L21" s="41" t="inlineStr">
        <is>
          <t>Los 4 bien; afirma falsamente que kD nunca se activa y el motor queda solo con kM.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C5-159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N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1</v>
      </c>
      <c r="L22" s="41" t="inlineStr">
        <is>
          <t>E3 mencionado vagamente con corrección no operativa ('activar t1 una sola vez'), lo cual además es falso error.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C5-196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0</v>
      </c>
      <c r="K23" s="40" t="n">
        <v>1</v>
      </c>
      <c r="L23" s="41" t="inlineStr">
        <is>
          <t>Los 4 bien; el punto 4 (estado 2 no activa kD ni gestiona kM) no es un error real.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C5-164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S</t>
        </is>
      </c>
      <c r="I24" s="40" t="inlineStr">
        <is>
          <t>S</t>
        </is>
      </c>
      <c r="J24" s="40" t="n">
        <v>0</v>
      </c>
      <c r="K24" s="40" t="n">
        <v>1</v>
      </c>
      <c r="L24" s="41" t="inlineStr">
        <is>
          <t>Los 4 bien; 'autómata bloqueado en estado 2' no es error (es el estado de marcha).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C5-174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0</v>
      </c>
      <c r="L25" s="41" t="inlineStr">
        <is>
          <t>Completa y precisa en los 4 errores.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C5-119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0</v>
      </c>
      <c r="L26" s="41" t="inlineStr">
        <is>
          <t>Completa y precisa en los 4 errores.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C5-163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0</v>
      </c>
      <c r="K27" s="40" t="n">
        <v>1</v>
      </c>
      <c r="L27" s="41" t="inlineStr">
        <is>
          <t>Los 4 detectados; 'estado inicial no definido' es falso.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C5-121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S</t>
        </is>
      </c>
      <c r="I28" s="40" t="inlineStr">
        <is>
          <t>S</t>
        </is>
      </c>
      <c r="J28" s="40" t="n">
        <v>0</v>
      </c>
      <c r="K28" s="40" t="n">
        <v>1</v>
      </c>
      <c r="L28" s="41" t="inlineStr">
        <is>
          <t>Los 4 bien; afirma que el estado 2 no es estable ni gestiona kD, lo que no es error.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C5-153</t>
        </is>
      </c>
      <c r="B29" s="40" t="inlineStr">
        <is>
          <t>N</t>
        </is>
      </c>
      <c r="C29" s="40" t="n"/>
      <c r="D29" s="40" t="inlineStr">
        <is>
          <t>S</t>
        </is>
      </c>
      <c r="E29" s="40" t="inlineStr">
        <is>
          <t>S</t>
        </is>
      </c>
      <c r="F29" s="40" t="inlineStr">
        <is>
          <t>N</t>
        </is>
      </c>
      <c r="G29" s="40" t="n"/>
      <c r="H29" s="40" t="inlineStr">
        <is>
          <t>N</t>
        </is>
      </c>
      <c r="I29" s="40" t="n"/>
      <c r="J29" s="40" t="n">
        <v>0</v>
      </c>
      <c r="K29" s="40" t="n">
        <v>4</v>
      </c>
      <c r="L29" s="41" t="inlineStr">
        <is>
          <t>Solo detecta el tiempo muerto; inicialización de t1/t2 y casos de paro/marcha son falsos errores.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5" customWidth="1" style="21" min="2" max="2"/>
    <col width="13" customWidth="1" style="21" min="3" max="3"/>
    <col width="15" customWidth="1" style="21" min="4" max="4"/>
    <col width="13" customWidth="1" style="21" min="5" max="5"/>
    <col width="15" customWidth="1" style="21" min="6" max="6"/>
    <col width="13" customWidth="1" style="21" min="7" max="7"/>
    <col width="15" customWidth="1" style="21" min="8" max="8"/>
    <col width="13" customWidth="1" style="21" min="9" max="9"/>
    <col width="14" customWidth="1" style="21" min="10" max="10"/>
    <col width="13" customWidth="1" style="21" min="11" max="11"/>
    <col width="38" customWidth="1" style="21" min="12" max="12"/>
    <col width="12" customWidth="1" style="21" min="13" max="13"/>
    <col width="13" customWidth="1" style="21" min="14" max="14"/>
    <col width="11" customWidth="1" style="21" min="15" max="15"/>
  </cols>
  <sheetData>
    <row r="1" ht="16.15" customHeight="1" s="22">
      <c r="A1" s="32" t="inlineStr">
        <is>
          <t>[SEGUNDO EVALUADOR (confiabilidad, no oficial) — Claude, Anthropic] C6 — Diagnóstico de escalado con histéresis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E1 detectado
División entera</t>
        </is>
      </c>
      <c r="C4" s="26" t="inlineStr">
        <is>
          <t>E1 corrección válida</t>
        </is>
      </c>
      <c r="D4" s="26" t="inlineStr">
        <is>
          <t>E2 detectado
Histéresis inexistente</t>
        </is>
      </c>
      <c r="E4" s="26" t="inlineStr">
        <is>
          <t>E2 corrección válida</t>
        </is>
      </c>
      <c r="F4" s="26" t="inlineStr">
        <is>
          <t>E3 detectado
Falta rawTemp &lt; 0</t>
        </is>
      </c>
      <c r="G4" s="26" t="inlineStr">
        <is>
          <t>E3 corrección válida</t>
        </is>
      </c>
      <c r="H4" s="26" t="inlineStr">
        <is>
          <t>E4 detectado
Alarma no se repone ni apaga enfriador</t>
        </is>
      </c>
      <c r="I4" s="26" t="inlineStr">
        <is>
          <t>E4 corrección válida</t>
        </is>
      </c>
      <c r="J4" s="26" t="inlineStr">
        <is>
          <t>Hallazgos adicionales válidos (n.º)</t>
        </is>
      </c>
      <c r="K4" s="26" t="inlineStr">
        <is>
          <t>Errores inventados (n.º)</t>
        </is>
      </c>
      <c r="L4" s="26" t="inlineStr">
        <is>
          <t>Observaciones</t>
        </is>
      </c>
      <c r="M4" s="26" t="inlineStr">
        <is>
          <t>Detectados (0–4)</t>
        </is>
      </c>
      <c r="N4" s="26" t="inlineStr">
        <is>
          <t>Correcciones válidas (0–4)</t>
        </is>
      </c>
      <c r="O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N</t>
        </is>
      </c>
      <c r="F5" s="37" t="inlineStr">
        <is>
          <t>N</t>
        </is>
      </c>
      <c r="G5" s="37" t="n"/>
      <c r="H5" s="37" t="inlineStr">
        <is>
          <t>S</t>
        </is>
      </c>
      <c r="I5" s="37" t="inlineStr">
        <is>
          <t>S</t>
        </is>
      </c>
      <c r="J5" s="37" t="n">
        <v>1</v>
      </c>
      <c r="K5" s="37" t="n">
        <v>0</v>
      </c>
      <c r="L5" s="38" t="inlineStr">
        <is>
          <t>E2: propone reiniciar el TON pero con IN siempre TRUE.</t>
        </is>
      </c>
      <c r="M5" s="37">
        <f>COUNTIF(B5,"S")+COUNTIF(D5,"S")+COUNTIF(F5,"S")+COUNTIF(H5,"S")</f>
        <v/>
      </c>
      <c r="N5" s="37">
        <f>COUNTIF(C5,"S")+COUNTIF(E5,"S")+COUNTIF(G5,"S")+COUNTIF(I5,"S")</f>
        <v/>
      </c>
      <c r="O5" s="37">
        <f>IF(AND(B5&lt;&gt;"",D5&lt;&gt;"",F5&lt;&gt;"",H5&lt;&gt;"",J5&lt;&gt;"",K5&lt;&gt;""),"Completa","Falta")</f>
        <v/>
      </c>
    </row>
    <row r="6" ht="21.75" customHeight="1" s="22">
      <c r="A6" s="39" t="inlineStr">
        <is>
          <t>C6-151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S</t>
        </is>
      </c>
      <c r="G6" s="40" t="inlineStr">
        <is>
          <t>S</t>
        </is>
      </c>
      <c r="H6" s="40" t="inlineStr">
        <is>
          <t>S</t>
        </is>
      </c>
      <c r="I6" s="40" t="inlineStr">
        <is>
          <t>S</t>
        </is>
      </c>
      <c r="J6" s="40" t="n">
        <v>0</v>
      </c>
      <c r="K6" s="40" t="n">
        <v>0</v>
      </c>
      <c r="L6" s="41" t="inlineStr">
        <is>
          <t>Detecta los cuatro defectos con correcciones válidas; la descripción del efecto del ELSIF es algo imprecisa.</t>
        </is>
      </c>
      <c r="M6" s="42">
        <f>COUNTIF(B6,"S")+COUNTIF(D6,"S")+COUNTIF(F6,"S")+COUNTIF(H6,"S")</f>
        <v/>
      </c>
      <c r="N6" s="42">
        <f>COUNTIF(C6,"S")+COUNTIF(E6,"S")+COUNTIF(G6,"S")+COUNTIF(I6,"S")</f>
        <v/>
      </c>
      <c r="O6" s="42">
        <f>IF(AND(B6&lt;&gt;"",D6&lt;&gt;"",F6&lt;&gt;"",H6&lt;&gt;"",J6&lt;&gt;"",K6&lt;&gt;""),"Completa","Falta")</f>
        <v/>
      </c>
    </row>
    <row r="7" ht="21.75" customHeight="1" s="22">
      <c r="A7" s="39" t="inlineStr">
        <is>
          <t>C6-148</t>
        </is>
      </c>
      <c r="B7" s="40" t="inlineStr">
        <is>
          <t>S</t>
        </is>
      </c>
      <c r="C7" s="40" t="inlineStr">
        <is>
          <t>S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S</t>
        </is>
      </c>
      <c r="G7" s="40" t="inlineStr">
        <is>
          <t>S</t>
        </is>
      </c>
      <c r="H7" s="40" t="inlineStr">
        <is>
          <t>S</t>
        </is>
      </c>
      <c r="I7" s="40" t="inlineStr">
        <is>
          <t>S</t>
        </is>
      </c>
      <c r="J7" s="40" t="n">
        <v>0</v>
      </c>
      <c r="K7" s="40" t="n">
        <v>0</v>
      </c>
      <c r="L7" s="41" t="inlineStr">
        <is>
          <t>Cuatro detectados; la falta de reposición de almSensor solo aparece en el código corregido (ELSE), no se explica.</t>
        </is>
      </c>
      <c r="M7" s="42">
        <f>COUNTIF(B7,"S")+COUNTIF(D7,"S")+COUNTIF(F7,"S")+COUNTIF(H7,"S")</f>
        <v/>
      </c>
      <c r="N7" s="42">
        <f>COUNTIF(C7,"S")+COUNTIF(E7,"S")+COUNTIF(G7,"S")+COUNTIF(I7,"S")</f>
        <v/>
      </c>
      <c r="O7" s="42">
        <f>IF(AND(B7&lt;&gt;"",D7&lt;&gt;"",F7&lt;&gt;"",H7&lt;&gt;"",J7&lt;&gt;"",K7&lt;&gt;""),"Completa","Falta")</f>
        <v/>
      </c>
    </row>
    <row r="8" ht="21.75" customHeight="1" s="22">
      <c r="A8" s="39" t="inlineStr">
        <is>
          <t>C6-155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S</t>
        </is>
      </c>
      <c r="F8" s="40" t="inlineStr">
        <is>
          <t>S</t>
        </is>
      </c>
      <c r="G8" s="40" t="inlineStr">
        <is>
          <t>S</t>
        </is>
      </c>
      <c r="H8" s="40" t="inlineStr">
        <is>
          <t>S</t>
        </is>
      </c>
      <c r="I8" s="40" t="inlineStr">
        <is>
          <t>S</t>
        </is>
      </c>
      <c r="J8" s="40" t="n">
        <v>0</v>
      </c>
      <c r="K8" s="40" t="n">
        <v>0</v>
      </c>
      <c r="L8" s="41" t="inlineStr">
        <is>
          <t>Detecta los cuatro con correcciones correctas; afirma sin fundamento que el uso de ELSIF es incorrecto pero lo conserva.</t>
        </is>
      </c>
      <c r="M8" s="42">
        <f>COUNTIF(B8,"S")+COUNTIF(D8,"S")+COUNTIF(F8,"S")+COUNTIF(H8,"S")</f>
        <v/>
      </c>
      <c r="N8" s="42">
        <f>COUNTIF(C8,"S")+COUNTIF(E8,"S")+COUNTIF(G8,"S")+COUNTIF(I8,"S")</f>
        <v/>
      </c>
      <c r="O8" s="42">
        <f>IF(AND(B8&lt;&gt;"",D8&lt;&gt;"",F8&lt;&gt;"",H8&lt;&gt;"",J8&lt;&gt;"",K8&lt;&gt;""),"Completa","Falta")</f>
        <v/>
      </c>
    </row>
    <row r="9" ht="21.75" customHeight="1" s="22">
      <c r="A9" s="39" t="inlineStr">
        <is>
          <t>C6-189</t>
        </is>
      </c>
      <c r="B9" s="40" t="inlineStr">
        <is>
          <t>N</t>
        </is>
      </c>
      <c r="C9" s="40" t="n"/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N</t>
        </is>
      </c>
      <c r="I9" s="40" t="n"/>
      <c r="J9" s="40" t="n">
        <v>0</v>
      </c>
      <c r="K9" s="40" t="n">
        <v>0</v>
      </c>
      <c r="L9" s="41" t="inlineStr">
        <is>
          <t>No identifica la división entera (dice que el valor sale del rango 0-100); histéresis resuelta en el punto 3; omite reposición de alarma y apagado del enfriador.</t>
        </is>
      </c>
      <c r="M9" s="42">
        <f>COUNTIF(B9,"S")+COUNTIF(D9,"S")+COUNTIF(F9,"S")+COUNTIF(H9,"S")</f>
        <v/>
      </c>
      <c r="N9" s="42">
        <f>COUNTIF(C9,"S")+COUNTIF(E9,"S")+COUNTIF(G9,"S")+COUNTIF(I9,"S")</f>
        <v/>
      </c>
      <c r="O9" s="42">
        <f>IF(AND(B9&lt;&gt;"",D9&lt;&gt;"",F9&lt;&gt;"",H9&lt;&gt;"",J9&lt;&gt;"",K9&lt;&gt;""),"Completa","Falta")</f>
        <v/>
      </c>
    </row>
    <row r="10" ht="21.75" customHeight="1" s="22">
      <c r="A10" s="39" t="inlineStr">
        <is>
          <t>C6-157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S</t>
        </is>
      </c>
      <c r="I10" s="40" t="inlineStr">
        <is>
          <t>S</t>
        </is>
      </c>
      <c r="J10" s="40" t="n">
        <v>0</v>
      </c>
      <c r="K10" s="40" t="n">
        <v>0</v>
      </c>
      <c r="L10" s="41" t="inlineStr">
        <is>
          <t>Detecta y corrige los cuatro defectos de la clave.</t>
        </is>
      </c>
      <c r="M10" s="42">
        <f>COUNTIF(B10,"S")+COUNTIF(D10,"S")+COUNTIF(F10,"S")+COUNTIF(H10,"S")</f>
        <v/>
      </c>
      <c r="N10" s="42">
        <f>COUNTIF(C10,"S")+COUNTIF(E10,"S")+COUNTIF(G10,"S")+COUNTIF(I10,"S")</f>
        <v/>
      </c>
      <c r="O10" s="42">
        <f>IF(AND(B10&lt;&gt;"",D10&lt;&gt;"",F10&lt;&gt;"",H10&lt;&gt;"",J10&lt;&gt;"",K10&lt;&gt;""),"Completa","Falta")</f>
        <v/>
      </c>
    </row>
    <row r="11" ht="21.75" customHeight="1" s="22">
      <c r="A11" s="39" t="inlineStr">
        <is>
          <t>C6-191</t>
        </is>
      </c>
      <c r="B11" s="40" t="inlineStr">
        <is>
          <t>N</t>
        </is>
      </c>
      <c r="C11" s="40" t="n"/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S</t>
        </is>
      </c>
      <c r="I11" s="40" t="inlineStr">
        <is>
          <t>S</t>
        </is>
      </c>
      <c r="J11" s="40" t="n">
        <v>0</v>
      </c>
      <c r="K11" s="40" t="n">
        <v>0</v>
      </c>
      <c r="L11" s="41" t="inlineStr">
        <is>
          <t>Explicación del escalado errónea (pide dividir antes de multiplicar), sin mencionar división entera; E4 solo la parte del enfriador, falta reposición de almSensor; puntos 5-6 duplicados.</t>
        </is>
      </c>
      <c r="M11" s="42">
        <f>COUNTIF(B11,"S")+COUNTIF(D11,"S")+COUNTIF(F11,"S")+COUNTIF(H11,"S")</f>
        <v/>
      </c>
      <c r="N11" s="42">
        <f>COUNTIF(C11,"S")+COUNTIF(E11,"S")+COUNTIF(G11,"S")+COUNTIF(I11,"S")</f>
        <v/>
      </c>
      <c r="O11" s="42">
        <f>IF(AND(B11&lt;&gt;"",D11&lt;&gt;"",F11&lt;&gt;"",H11&lt;&gt;"",J11&lt;&gt;"",K11&lt;&gt;""),"Completa","Falta")</f>
        <v/>
      </c>
    </row>
    <row r="12" ht="21.75" customHeight="1" s="22">
      <c r="A12" s="39" t="inlineStr">
        <is>
          <t>C6-168</t>
        </is>
      </c>
      <c r="B12" s="40" t="inlineStr">
        <is>
          <t>S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S</t>
        </is>
      </c>
      <c r="I12" s="40" t="inlineStr">
        <is>
          <t>S</t>
        </is>
      </c>
      <c r="J12" s="40" t="n">
        <v>0</v>
      </c>
      <c r="K12" s="40" t="n">
        <v>0</v>
      </c>
      <c r="L12" s="41" t="inlineStr">
        <is>
          <t>Cuatro detectados; la reposición de almSensor solo aparece en el código corregido.</t>
        </is>
      </c>
      <c r="M12" s="42">
        <f>COUNTIF(B12,"S")+COUNTIF(D12,"S")+COUNTIF(F12,"S")+COUNTIF(H12,"S")</f>
        <v/>
      </c>
      <c r="N12" s="42">
        <f>COUNTIF(C12,"S")+COUNTIF(E12,"S")+COUNTIF(G12,"S")+COUNTIF(I12,"S")</f>
        <v/>
      </c>
      <c r="O12" s="42">
        <f>IF(AND(B12&lt;&gt;"",D12&lt;&gt;"",F12&lt;&gt;"",H12&lt;&gt;"",J12&lt;&gt;"",K12&lt;&gt;""),"Completa","Falta")</f>
        <v/>
      </c>
    </row>
    <row r="13" ht="21.75" customHeight="1" s="22">
      <c r="A13" s="39" t="inlineStr">
        <is>
          <t>C6-190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S</t>
        </is>
      </c>
      <c r="I13" s="40" t="inlineStr">
        <is>
          <t>S</t>
        </is>
      </c>
      <c r="J13" s="40" t="n">
        <v>0</v>
      </c>
      <c r="K13" s="40" t="n">
        <v>0</v>
      </c>
      <c r="L13" s="41" t="inlineStr">
        <is>
          <t>Detecta y corrige con precisión los cuatro defectos.</t>
        </is>
      </c>
      <c r="M13" s="42">
        <f>COUNTIF(B13,"S")+COUNTIF(D13,"S")+COUNTIF(F13,"S")+COUNTIF(H13,"S")</f>
        <v/>
      </c>
      <c r="N13" s="42">
        <f>COUNTIF(C13,"S")+COUNTIF(E13,"S")+COUNTIF(G13,"S")+COUNTIF(I13,"S")</f>
        <v/>
      </c>
      <c r="O13" s="42">
        <f>IF(AND(B13&lt;&gt;"",D13&lt;&gt;"",F13&lt;&gt;"",H13&lt;&gt;"",J13&lt;&gt;"",K13&lt;&gt;""),"Completa","Falta")</f>
        <v/>
      </c>
    </row>
    <row r="14" ht="21.75" customHeight="1" s="22">
      <c r="A14" s="39" t="inlineStr">
        <is>
          <t>C6-109</t>
        </is>
      </c>
      <c r="B14" s="40" t="inlineStr">
        <is>
          <t>S</t>
        </is>
      </c>
      <c r="C14" s="40" t="inlineStr">
        <is>
          <t>S</t>
        </is>
      </c>
      <c r="D14" s="40" t="inlineStr">
        <is>
          <t>S</t>
        </is>
      </c>
      <c r="E14" s="40" t="inlineStr">
        <is>
          <t>S</t>
        </is>
      </c>
      <c r="F14" s="40" t="inlineStr">
        <is>
          <t>S</t>
        </is>
      </c>
      <c r="G14" s="40" t="inlineStr">
        <is>
          <t>S</t>
        </is>
      </c>
      <c r="H14" s="40" t="inlineStr">
        <is>
          <t>S</t>
        </is>
      </c>
      <c r="I14" s="40" t="inlineStr">
        <is>
          <t>S</t>
        </is>
      </c>
      <c r="J14" s="40" t="n">
        <v>0</v>
      </c>
      <c r="K14" s="40" t="n">
        <v>0</v>
      </c>
      <c r="L14" s="41" t="inlineStr">
        <is>
          <t>Detecta y corrige con precisión los cuatro defectos.</t>
        </is>
      </c>
      <c r="M14" s="42">
        <f>COUNTIF(B14,"S")+COUNTIF(D14,"S")+COUNTIF(F14,"S")+COUNTIF(H14,"S")</f>
        <v/>
      </c>
      <c r="N14" s="42">
        <f>COUNTIF(C14,"S")+COUNTIF(E14,"S")+COUNTIF(G14,"S")+COUNTIF(I14,"S")</f>
        <v/>
      </c>
      <c r="O14" s="42">
        <f>IF(AND(B14&lt;&gt;"",D14&lt;&gt;"",F14&lt;&gt;"",H14&lt;&gt;"",J14&lt;&gt;"",K14&lt;&gt;""),"Completa","Falta")</f>
        <v/>
      </c>
    </row>
    <row r="15" ht="21.75" customHeight="1" s="22">
      <c r="A15" s="39" t="inlineStr">
        <is>
          <t>C6-175</t>
        </is>
      </c>
      <c r="B15" s="40" t="inlineStr">
        <is>
          <t>S</t>
        </is>
      </c>
      <c r="C15" s="40" t="inlineStr">
        <is>
          <t>N</t>
        </is>
      </c>
      <c r="D15" s="40" t="inlineStr">
        <is>
          <t>S</t>
        </is>
      </c>
      <c r="E15" s="40" t="inlineStr">
        <is>
          <t>S</t>
        </is>
      </c>
      <c r="F15" s="40" t="inlineStr">
        <is>
          <t>S</t>
        </is>
      </c>
      <c r="G15" s="40" t="inlineStr">
        <is>
          <t>S</t>
        </is>
      </c>
      <c r="H15" s="40" t="inlineStr">
        <is>
          <t>S</t>
        </is>
      </c>
      <c r="I15" s="40" t="inlineStr">
        <is>
          <t>S</t>
        </is>
      </c>
      <c r="J15" s="40" t="n">
        <v>0</v>
      </c>
      <c r="K15" s="40" t="n">
        <v>0</v>
      </c>
      <c r="L15" s="41" t="inlineStr">
        <is>
          <t>E1 señala que dividir primero da un valor muy pequeño, pero la corrección rawTemp*100/27648 sigue en INT (desborda y trunca); E4 sin reposición de almSensor.</t>
        </is>
      </c>
      <c r="M15" s="42">
        <f>COUNTIF(B15,"S")+COUNTIF(D15,"S")+COUNTIF(F15,"S")+COUNTIF(H15,"S")</f>
        <v/>
      </c>
      <c r="N15" s="42">
        <f>COUNTIF(C15,"S")+COUNTIF(E15,"S")+COUNTIF(G15,"S")+COUNTIF(I15,"S")</f>
        <v/>
      </c>
      <c r="O15" s="42">
        <f>IF(AND(B15&lt;&gt;"",D15&lt;&gt;"",F15&lt;&gt;"",H15&lt;&gt;"",J15&lt;&gt;"",K15&lt;&gt;""),"Completa","Falta")</f>
        <v/>
      </c>
    </row>
    <row r="16" ht="21.75" customHeight="1" s="22">
      <c r="A16" s="39" t="inlineStr">
        <is>
          <t>C6-135</t>
        </is>
      </c>
      <c r="B16" s="40" t="inlineStr">
        <is>
          <t>N</t>
        </is>
      </c>
      <c r="C16" s="40" t="n"/>
      <c r="D16" s="40" t="inlineStr">
        <is>
          <t>S</t>
        </is>
      </c>
      <c r="E16" s="40" t="inlineStr">
        <is>
          <t>N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S</t>
        </is>
      </c>
      <c r="I16" s="40" t="inlineStr">
        <is>
          <t>S</t>
        </is>
      </c>
      <c r="J16" s="40" t="n">
        <v>0</v>
      </c>
      <c r="K16" s="40" t="n">
        <v>0</v>
      </c>
      <c r="L16" s="41" t="inlineStr">
        <is>
          <t>Escalado mal explicado sin división entera; la corrección de histéresis solo cambia el ELSIF a &lt;75 y mantiene IF &gt;=75; E4 sin reposición de alarma; puntos duplicados.</t>
        </is>
      </c>
      <c r="M16" s="42">
        <f>COUNTIF(B16,"S")+COUNTIF(D16,"S")+COUNTIF(F16,"S")+COUNTIF(H16,"S")</f>
        <v/>
      </c>
      <c r="N16" s="42">
        <f>COUNTIF(C16,"S")+COUNTIF(E16,"S")+COUNTIF(G16,"S")+COUNTIF(I16,"S")</f>
        <v/>
      </c>
      <c r="O16" s="42">
        <f>IF(AND(B16&lt;&gt;"",D16&lt;&gt;"",F16&lt;&gt;"",H16&lt;&gt;"",J16&lt;&gt;"",K16&lt;&gt;""),"Completa","Falta")</f>
        <v/>
      </c>
    </row>
    <row r="17" ht="21.75" customHeight="1" s="22">
      <c r="A17" s="39" t="inlineStr">
        <is>
          <t>C6-188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S</t>
        </is>
      </c>
      <c r="I17" s="40" t="inlineStr">
        <is>
          <t>S</t>
        </is>
      </c>
      <c r="J17" s="40" t="n">
        <v>0</v>
      </c>
      <c r="K17" s="40" t="n">
        <v>0</v>
      </c>
      <c r="L17" s="41" t="inlineStr">
        <is>
          <t>Detecta y corrige los cuatro defectos.</t>
        </is>
      </c>
      <c r="M17" s="42">
        <f>COUNTIF(B17,"S")+COUNTIF(D17,"S")+COUNTIF(F17,"S")+COUNTIF(H17,"S")</f>
        <v/>
      </c>
      <c r="N17" s="42">
        <f>COUNTIF(C17,"S")+COUNTIF(E17,"S")+COUNTIF(G17,"S")+COUNTIF(I17,"S")</f>
        <v/>
      </c>
      <c r="O17" s="42">
        <f>IF(AND(B17&lt;&gt;"",D17&lt;&gt;"",F17&lt;&gt;"",H17&lt;&gt;"",J17&lt;&gt;"",K17&lt;&gt;""),"Completa","Falta")</f>
        <v/>
      </c>
    </row>
    <row r="18" ht="21.75" customHeight="1" s="22">
      <c r="A18" s="39" t="inlineStr">
        <is>
          <t>C6-143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S</t>
        </is>
      </c>
      <c r="I18" s="40" t="inlineStr">
        <is>
          <t>S</t>
        </is>
      </c>
      <c r="J18" s="40" t="n">
        <v>0</v>
      </c>
      <c r="K18" s="40" t="n">
        <v>0</v>
      </c>
      <c r="L18" s="41" t="inlineStr">
        <is>
          <t>Cuatro detectados; la reposición de almSensor solo se incluye en el código corregido.</t>
        </is>
      </c>
      <c r="M18" s="42">
        <f>COUNTIF(B18,"S")+COUNTIF(D18,"S")+COUNTIF(F18,"S")+COUNTIF(H18,"S")</f>
        <v/>
      </c>
      <c r="N18" s="42">
        <f>COUNTIF(C18,"S")+COUNTIF(E18,"S")+COUNTIF(G18,"S")+COUNTIF(I18,"S")</f>
        <v/>
      </c>
      <c r="O18" s="42">
        <f>IF(AND(B18&lt;&gt;"",D18&lt;&gt;"",F18&lt;&gt;"",H18&lt;&gt;"",J18&lt;&gt;"",K18&lt;&gt;""),"Completa","Falta")</f>
        <v/>
      </c>
    </row>
    <row r="19" ht="21.75" customHeight="1" s="22">
      <c r="A19" s="39" t="inlineStr">
        <is>
          <t>C6-140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S</t>
        </is>
      </c>
      <c r="I19" s="40" t="inlineStr">
        <is>
          <t>S</t>
        </is>
      </c>
      <c r="J19" s="40" t="n">
        <v>0</v>
      </c>
      <c r="K19" s="40" t="n">
        <v>0</v>
      </c>
      <c r="L19" s="41" t="inlineStr">
        <is>
          <t>Cuatro detectados; apagado del enfriador y reposición de alarma solo en el código corregido con comentarios.</t>
        </is>
      </c>
      <c r="M19" s="42">
        <f>COUNTIF(B19,"S")+COUNTIF(D19,"S")+COUNTIF(F19,"S")+COUNTIF(H19,"S")</f>
        <v/>
      </c>
      <c r="N19" s="42">
        <f>COUNTIF(C19,"S")+COUNTIF(E19,"S")+COUNTIF(G19,"S")+COUNTIF(I19,"S")</f>
        <v/>
      </c>
      <c r="O19" s="42">
        <f>IF(AND(B19&lt;&gt;"",D19&lt;&gt;"",F19&lt;&gt;"",H19&lt;&gt;"",J19&lt;&gt;"",K19&lt;&gt;""),"Completa","Falta")</f>
        <v/>
      </c>
    </row>
    <row r="20" ht="21.75" customHeight="1" s="22">
      <c r="A20" s="39" t="inlineStr">
        <is>
          <t>C6-182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S</t>
        </is>
      </c>
      <c r="H20" s="40" t="inlineStr">
        <is>
          <t>S</t>
        </is>
      </c>
      <c r="I20" s="40" t="inlineStr">
        <is>
          <t>S</t>
        </is>
      </c>
      <c r="J20" s="40" t="n">
        <v>0</v>
      </c>
      <c r="K20" s="40" t="n">
        <v>0</v>
      </c>
      <c r="L20" s="41" t="inlineStr">
        <is>
          <t>Detecta y corrige los cuatro defectos.</t>
        </is>
      </c>
      <c r="M20" s="42">
        <f>COUNTIF(B20,"S")+COUNTIF(D20,"S")+COUNTIF(F20,"S")+COUNTIF(H20,"S")</f>
        <v/>
      </c>
      <c r="N20" s="42">
        <f>COUNTIF(C20,"S")+COUNTIF(E20,"S")+COUNTIF(G20,"S")+COUNTIF(I20,"S")</f>
        <v/>
      </c>
      <c r="O20" s="42">
        <f>IF(AND(B20&lt;&gt;"",D20&lt;&gt;"",F20&lt;&gt;"",H20&lt;&gt;"",J20&lt;&gt;"",K20&lt;&gt;""),"Completa","Falta")</f>
        <v/>
      </c>
    </row>
    <row r="21" ht="21.75" customHeight="1" s="22">
      <c r="A21" s="39" t="inlineStr">
        <is>
          <t>C6-142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S</t>
        </is>
      </c>
      <c r="I21" s="40" t="inlineStr">
        <is>
          <t>S</t>
        </is>
      </c>
      <c r="J21" s="40" t="n">
        <v>0</v>
      </c>
      <c r="K21" s="40" t="n">
        <v>0</v>
      </c>
      <c r="L21" s="41" t="inlineStr">
        <is>
          <t>Detecta y corrige los cuatro defectos, separando reposición y apagado del enfriador.</t>
        </is>
      </c>
      <c r="M21" s="42">
        <f>COUNTIF(B21,"S")+COUNTIF(D21,"S")+COUNTIF(F21,"S")+COUNTIF(H21,"S")</f>
        <v/>
      </c>
      <c r="N21" s="42">
        <f>COUNTIF(C21,"S")+COUNTIF(E21,"S")+COUNTIF(G21,"S")+COUNTIF(I21,"S")</f>
        <v/>
      </c>
      <c r="O21" s="42">
        <f>IF(AND(B21&lt;&gt;"",D21&lt;&gt;"",F21&lt;&gt;"",H21&lt;&gt;"",J21&lt;&gt;"",K21&lt;&gt;""),"Completa","Falta")</f>
        <v/>
      </c>
    </row>
    <row r="22" ht="21.75" customHeight="1" s="22">
      <c r="A22" s="39" t="inlineStr">
        <is>
          <t>C6-124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S</t>
        </is>
      </c>
      <c r="I22" s="40" t="inlineStr">
        <is>
          <t>S</t>
        </is>
      </c>
      <c r="J22" s="40" t="n">
        <v>0</v>
      </c>
      <c r="K22" s="40" t="n">
        <v>0</v>
      </c>
      <c r="L22" s="41" t="inlineStr">
        <is>
          <t>Cuatro detectados; E4 solo aparece en el código corregido (comentario y ELSE), no se explica.</t>
        </is>
      </c>
      <c r="M22" s="42">
        <f>COUNTIF(B22,"S")+COUNTIF(D22,"S")+COUNTIF(F22,"S")+COUNTIF(H22,"S")</f>
        <v/>
      </c>
      <c r="N22" s="42">
        <f>COUNTIF(C22,"S")+COUNTIF(E22,"S")+COUNTIF(G22,"S")+COUNTIF(I22,"S")</f>
        <v/>
      </c>
      <c r="O22" s="42">
        <f>IF(AND(B22&lt;&gt;"",D22&lt;&gt;"",F22&lt;&gt;"",H22&lt;&gt;"",J22&lt;&gt;"",K22&lt;&gt;""),"Completa","Falta")</f>
        <v/>
      </c>
    </row>
    <row r="23" ht="21.75" customHeight="1" s="22">
      <c r="A23" s="39" t="inlineStr">
        <is>
          <t>C6-156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S</t>
        </is>
      </c>
      <c r="I23" s="40" t="inlineStr">
        <is>
          <t>S</t>
        </is>
      </c>
      <c r="J23" s="40" t="n">
        <v>0</v>
      </c>
      <c r="K23" s="40" t="n">
        <v>0</v>
      </c>
      <c r="L23" s="41" t="inlineStr">
        <is>
          <t>Detecta y corrige los cuatro defectos con explicación completa.</t>
        </is>
      </c>
      <c r="M23" s="42">
        <f>COUNTIF(B23,"S")+COUNTIF(D23,"S")+COUNTIF(F23,"S")+COUNTIF(H23,"S")</f>
        <v/>
      </c>
      <c r="N23" s="42">
        <f>COUNTIF(C23,"S")+COUNTIF(E23,"S")+COUNTIF(G23,"S")+COUNTIF(I23,"S")</f>
        <v/>
      </c>
      <c r="O23" s="42">
        <f>IF(AND(B23&lt;&gt;"",D23&lt;&gt;"",F23&lt;&gt;"",H23&lt;&gt;"",J23&lt;&gt;"",K23&lt;&gt;""),"Completa","Falta")</f>
        <v/>
      </c>
    </row>
    <row r="24" ht="21.75" customHeight="1" s="22">
      <c r="A24" s="39" t="inlineStr">
        <is>
          <t>C6-139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S</t>
        </is>
      </c>
      <c r="I24" s="40" t="inlineStr">
        <is>
          <t>S</t>
        </is>
      </c>
      <c r="J24" s="40" t="n">
        <v>0</v>
      </c>
      <c r="K24" s="40" t="n">
        <v>2</v>
      </c>
      <c r="L24" s="41" t="inlineStr">
        <is>
          <t>Detecta los cuatro con correcciones válidas, pero afirma que falta la lógica de apagado (sí existe) y propone encender el enfriador siempre que el sensor esté en rango, contra la especificación.</t>
        </is>
      </c>
      <c r="M24" s="42">
        <f>COUNTIF(B24,"S")+COUNTIF(D24,"S")+COUNTIF(F24,"S")+COUNTIF(H24,"S")</f>
        <v/>
      </c>
      <c r="N24" s="42">
        <f>COUNTIF(C24,"S")+COUNTIF(E24,"S")+COUNTIF(G24,"S")+COUNTIF(I24,"S")</f>
        <v/>
      </c>
      <c r="O24" s="42">
        <f>IF(AND(B24&lt;&gt;"",D24&lt;&gt;"",F24&lt;&gt;"",H24&lt;&gt;"",J24&lt;&gt;"",K24&lt;&gt;""),"Completa","Falta")</f>
        <v/>
      </c>
    </row>
    <row r="25" ht="21.75" customHeight="1" s="22">
      <c r="A25" s="39" t="inlineStr">
        <is>
          <t>C6-193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S</t>
        </is>
      </c>
      <c r="I25" s="40" t="inlineStr">
        <is>
          <t>S</t>
        </is>
      </c>
      <c r="J25" s="40" t="n">
        <v>0</v>
      </c>
      <c r="K25" s="40" t="n">
        <v>0</v>
      </c>
      <c r="L25" s="41" t="inlineStr">
        <is>
          <t>Detecta y corrige los cuatro defectos.</t>
        </is>
      </c>
      <c r="M25" s="42">
        <f>COUNTIF(B25,"S")+COUNTIF(D25,"S")+COUNTIF(F25,"S")+COUNTIF(H25,"S")</f>
        <v/>
      </c>
      <c r="N25" s="42">
        <f>COUNTIF(C25,"S")+COUNTIF(E25,"S")+COUNTIF(G25,"S")+COUNTIF(I25,"S")</f>
        <v/>
      </c>
      <c r="O25" s="42">
        <f>IF(AND(B25&lt;&gt;"",D25&lt;&gt;"",F25&lt;&gt;"",H25&lt;&gt;"",J25&lt;&gt;"",K25&lt;&gt;""),"Completa","Falta")</f>
        <v/>
      </c>
    </row>
    <row r="26" ht="21.75" customHeight="1" s="22">
      <c r="A26" s="39" t="inlineStr">
        <is>
          <t>C6-112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S</t>
        </is>
      </c>
      <c r="I26" s="40" t="inlineStr">
        <is>
          <t>S</t>
        </is>
      </c>
      <c r="J26" s="40" t="n">
        <v>0</v>
      </c>
      <c r="K26" s="40" t="n">
        <v>0</v>
      </c>
      <c r="L26" s="41" t="inlineStr">
        <is>
          <t>Cuatro detectados; E4 solo en el código corregido con comentario.</t>
        </is>
      </c>
      <c r="M26" s="42">
        <f>COUNTIF(B26,"S")+COUNTIF(D26,"S")+COUNTIF(F26,"S")+COUNTIF(H26,"S")</f>
        <v/>
      </c>
      <c r="N26" s="42">
        <f>COUNTIF(C26,"S")+COUNTIF(E26,"S")+COUNTIF(G26,"S")+COUNTIF(I26,"S")</f>
        <v/>
      </c>
      <c r="O26" s="42">
        <f>IF(AND(B26&lt;&gt;"",D26&lt;&gt;"",F26&lt;&gt;"",H26&lt;&gt;"",J26&lt;&gt;"",K26&lt;&gt;""),"Completa","Falta")</f>
        <v/>
      </c>
    </row>
    <row r="27" ht="21.75" customHeight="1" s="22">
      <c r="A27" s="39" t="inlineStr">
        <is>
          <t>C6-195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S</t>
        </is>
      </c>
      <c r="I27" s="40" t="inlineStr">
        <is>
          <t>S</t>
        </is>
      </c>
      <c r="J27" s="40" t="n">
        <v>0</v>
      </c>
      <c r="K27" s="40" t="n">
        <v>0</v>
      </c>
      <c r="L27" s="41" t="inlineStr">
        <is>
          <t>Detecta y corrige los cuatro defectos.</t>
        </is>
      </c>
      <c r="M27" s="42">
        <f>COUNTIF(B27,"S")+COUNTIF(D27,"S")+COUNTIF(F27,"S")+COUNTIF(H27,"S")</f>
        <v/>
      </c>
      <c r="N27" s="42">
        <f>COUNTIF(C27,"S")+COUNTIF(E27,"S")+COUNTIF(G27,"S")+COUNTIF(I27,"S")</f>
        <v/>
      </c>
      <c r="O27" s="42">
        <f>IF(AND(B27&lt;&gt;"",D27&lt;&gt;"",F27&lt;&gt;"",H27&lt;&gt;"",J27&lt;&gt;"",K27&lt;&gt;""),"Completa","Falta")</f>
        <v/>
      </c>
    </row>
    <row r="28" ht="21.75" customHeight="1" s="22">
      <c r="A28" s="39" t="inlineStr">
        <is>
          <t>C6-120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N</t>
        </is>
      </c>
      <c r="G28" s="40" t="n"/>
      <c r="H28" s="40" t="inlineStr">
        <is>
          <t>S</t>
        </is>
      </c>
      <c r="I28" s="40" t="inlineStr">
        <is>
          <t>S</t>
        </is>
      </c>
      <c r="J28" s="40" t="n">
        <v>0</v>
      </c>
      <c r="K28" s="40" t="n">
        <v>0</v>
      </c>
      <c r="L28" s="41" t="inlineStr">
        <is>
          <t>No detecta la falta de rawTemp &lt; 0; los demás detectados con correcciones válidas, aunque la de histéresis es vaga.</t>
        </is>
      </c>
      <c r="M28" s="42">
        <f>COUNTIF(B28,"S")+COUNTIF(D28,"S")+COUNTIF(F28,"S")+COUNTIF(H28,"S")</f>
        <v/>
      </c>
      <c r="N28" s="42">
        <f>COUNTIF(C28,"S")+COUNTIF(E28,"S")+COUNTIF(G28,"S")+COUNTIF(I28,"S")</f>
        <v/>
      </c>
      <c r="O28" s="42">
        <f>IF(AND(B28&lt;&gt;"",D28&lt;&gt;"",F28&lt;&gt;"",H28&lt;&gt;"",J28&lt;&gt;"",K28&lt;&gt;""),"Completa","Falta")</f>
        <v/>
      </c>
    </row>
    <row r="29" ht="21.75" customHeight="1" s="22">
      <c r="A29" s="39" t="inlineStr">
        <is>
          <t>C6-192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S</t>
        </is>
      </c>
      <c r="I29" s="40" t="inlineStr">
        <is>
          <t>S</t>
        </is>
      </c>
      <c r="J29" s="40" t="n">
        <v>0</v>
      </c>
      <c r="K29" s="40" t="n">
        <v>0</v>
      </c>
      <c r="L29" s="41" t="inlineStr">
        <is>
          <t>Detecta y corrige los cuatro defectos.</t>
        </is>
      </c>
      <c r="M29" s="42">
        <f>COUNTIF(B29,"S")+COUNTIF(D29,"S")+COUNTIF(F29,"S")+COUNTIF(H29,"S")</f>
        <v/>
      </c>
      <c r="N29" s="42">
        <f>COUNTIF(C29,"S")+COUNTIF(E29,"S")+COUNTIF(G29,"S")+COUNTIF(I29,"S")</f>
        <v/>
      </c>
      <c r="O29" s="42">
        <f>IF(AND(B29&lt;&gt;"",D29&lt;&gt;"",F29&lt;&gt;"",H29&lt;&gt;"",J29&lt;&gt;"",K29&lt;&gt;""),"Completa","Falta")</f>
        <v/>
      </c>
    </row>
    <row r="30"/>
  </sheetData>
  <dataValidations count="2">
    <dataValidation sqref="J5:K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I29" showDropDown="0" showInputMessage="0" showErrorMessage="1" allowBlank="1" errorTitle="Valor no válido" error="Escribe S o N." type="list" errorStyle="stop" operator="between">
      <formula1>"S,N"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U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1" min="1" max="1"/>
    <col width="13" customWidth="1" style="21" min="2" max="7"/>
    <col width="17" customWidth="1" style="21" min="8" max="8"/>
    <col width="13" customWidth="1" style="21" min="9" max="15"/>
    <col width="14" customWidth="1" style="21" min="16" max="16"/>
    <col width="11" customWidth="1" style="21" min="17" max="17"/>
    <col width="38" customWidth="1" style="21" min="18" max="18"/>
    <col width="12" customWidth="1" style="21" min="19" max="19"/>
    <col width="14" customWidth="1" style="21" min="20" max="20"/>
    <col width="11" customWidth="1" style="21" min="21" max="21"/>
  </cols>
  <sheetData>
    <row r="1" ht="16.15" customHeight="1" s="22">
      <c r="A1" s="32" t="inlineStr">
        <is>
          <t>[SEGUNDO EVALUADOR (confiabilidad, no oficial) — Claude, Anthropic] C2 — De requisito ambiguo a especificación</t>
        </is>
      </c>
    </row>
    <row r="2" ht="15" customHeight="1" s="22">
      <c r="A2" s="36" t="inlineStr">
        <is>
          <t>Rellena solo las celdas amarillas. S = sí, N = no. Lee cada respuesta por su código en el archivo HTML. La fila EJEMPLO muestra el formato y no se analiza.</t>
        </is>
      </c>
    </row>
    <row r="4" ht="61.5" customHeight="1" s="22">
      <c r="A4" s="26" t="inlineStr">
        <is>
          <t>Código</t>
        </is>
      </c>
      <c r="B4" s="26" t="inlineStr">
        <is>
          <t>E/S presente
Nivel del tanque</t>
        </is>
      </c>
      <c r="C4" s="26" t="inlineStr">
        <is>
          <t>E/S presente
Agua en el pozo</t>
        </is>
      </c>
      <c r="D4" s="26" t="inlineStr">
        <is>
          <t>E/S presente
Botón de paro</t>
        </is>
      </c>
      <c r="E4" s="26" t="inlineStr">
        <is>
          <t>E/S presente
Bomba</t>
        </is>
      </c>
      <c r="F4" s="26" t="inlineStr">
        <is>
          <t>E/S presente
Luz de aviso</t>
        </is>
      </c>
      <c r="G4" s="26" t="inlineStr">
        <is>
          <t>Tipos IEC válidos en toda la tabla</t>
        </is>
      </c>
      <c r="H4" s="26" t="inlineStr">
        <is>
          <t>POU recomendado</t>
        </is>
      </c>
      <c r="I4" s="26" t="inlineStr">
        <is>
          <t>Justificación coherente</t>
        </is>
      </c>
      <c r="J4" s="26" t="inlineStr">
        <is>
          <t>A1
Digital o analógica</t>
        </is>
      </c>
      <c r="K4" s="26" t="inlineStr">
        <is>
          <t>A2
Qué es 'tanque vacío'</t>
        </is>
      </c>
      <c r="L4" s="26" t="inlineStr">
        <is>
          <t>A3
Marcha en seco y rearme</t>
        </is>
      </c>
      <c r="M4" s="26" t="inlineStr">
        <is>
          <t>A4
Tipo de botón</t>
        </is>
      </c>
      <c r="N4" s="26" t="inlineStr">
        <is>
          <t>A5
Qué agrupa la luz</t>
        </is>
      </c>
      <c r="O4" s="26" t="inlineStr">
        <is>
          <t>A6
Retorno del agua</t>
        </is>
      </c>
      <c r="P4" s="26" t="inlineStr">
        <is>
          <t>Ambigüedades adicionales válidas (n.º)</t>
        </is>
      </c>
      <c r="Q4" s="26" t="inlineStr">
        <is>
          <t>¿Incluyó código?</t>
        </is>
      </c>
      <c r="R4" s="26" t="inlineStr">
        <is>
          <t>Observaciones</t>
        </is>
      </c>
      <c r="S4" s="26" t="inlineStr">
        <is>
          <t>E/S presentes (0–5)</t>
        </is>
      </c>
      <c r="T4" s="26" t="inlineStr">
        <is>
          <t>Ambigüedades de la clave (0–6)</t>
        </is>
      </c>
      <c r="U4" s="26" t="inlineStr">
        <is>
          <t>Estado</t>
        </is>
      </c>
    </row>
    <row r="5" ht="21.75" customHeight="1" s="22">
      <c r="A5" s="37" t="inlineStr">
        <is>
          <t>EJEMPLO</t>
        </is>
      </c>
      <c r="B5" s="37" t="inlineStr">
        <is>
          <t>S</t>
        </is>
      </c>
      <c r="C5" s="37" t="inlineStr">
        <is>
          <t>S</t>
        </is>
      </c>
      <c r="D5" s="37" t="inlineStr">
        <is>
          <t>S</t>
        </is>
      </c>
      <c r="E5" s="37" t="inlineStr">
        <is>
          <t>S</t>
        </is>
      </c>
      <c r="F5" s="37" t="inlineStr">
        <is>
          <t>S</t>
        </is>
      </c>
      <c r="G5" s="37" t="inlineStr">
        <is>
          <t>S</t>
        </is>
      </c>
      <c r="H5" s="37" t="inlineStr">
        <is>
          <t>FUNCTION_BLOCK</t>
        </is>
      </c>
      <c r="I5" s="37" t="inlineStr">
        <is>
          <t>S</t>
        </is>
      </c>
      <c r="J5" s="37" t="inlineStr">
        <is>
          <t>S</t>
        </is>
      </c>
      <c r="K5" s="37" t="inlineStr">
        <is>
          <t>N</t>
        </is>
      </c>
      <c r="L5" s="37" t="inlineStr">
        <is>
          <t>S</t>
        </is>
      </c>
      <c r="M5" s="37" t="inlineStr">
        <is>
          <t>S</t>
        </is>
      </c>
      <c r="N5" s="37" t="inlineStr">
        <is>
          <t>N</t>
        </is>
      </c>
      <c r="O5" s="37" t="inlineStr">
        <is>
          <t>N</t>
        </is>
      </c>
      <c r="P5" s="37" t="n">
        <v>2</v>
      </c>
      <c r="Q5" s="37" t="inlineStr">
        <is>
          <t>N</t>
        </is>
      </c>
      <c r="R5" s="38" t="inlineStr">
        <is>
          <t>Pregunta además por la tensión de la bomba.</t>
        </is>
      </c>
      <c r="S5" s="37">
        <f>COUNTIF(B5,"S")+COUNTIF(C5,"S")+COUNTIF(D5,"S")+COUNTIF(E5,"S")+COUNTIF(F5,"S")</f>
        <v/>
      </c>
      <c r="T5" s="37">
        <f>COUNTIF(J5,"S")+COUNTIF(K5,"S")+COUNTIF(L5,"S")+COUNTIF(M5,"S")+COUNTIF(N5,"S")+COUNTIF(O5,"S")</f>
        <v/>
      </c>
      <c r="U5" s="37">
        <f>IF(AND(B5&lt;&gt;"",C5&lt;&gt;"",D5&lt;&gt;"",E5&lt;&gt;"",F5&lt;&gt;"",G5&lt;&gt;"",H5&lt;&gt;"",I5&lt;&gt;"",J5&lt;&gt;"",K5&lt;&gt;"",L5&lt;&gt;"",M5&lt;&gt;"",N5&lt;&gt;"",O5&lt;&gt;"",P5&lt;&gt;"",Q5&lt;&gt;""),"Completa","Falta")</f>
        <v/>
      </c>
    </row>
    <row r="6" ht="21.75" customHeight="1" s="22">
      <c r="A6" s="39" t="inlineStr">
        <is>
          <t>C2-183</t>
        </is>
      </c>
      <c r="B6" s="40" t="inlineStr">
        <is>
          <t>S</t>
        </is>
      </c>
      <c r="C6" s="40" t="inlineStr">
        <is>
          <t>S</t>
        </is>
      </c>
      <c r="D6" s="40" t="inlineStr">
        <is>
          <t>S</t>
        </is>
      </c>
      <c r="E6" s="40" t="inlineStr">
        <is>
          <t>S</t>
        </is>
      </c>
      <c r="F6" s="40" t="inlineStr">
        <is>
          <t>S</t>
        </is>
      </c>
      <c r="G6" s="40" t="inlineStr">
        <is>
          <t>S</t>
        </is>
      </c>
      <c r="H6" s="40" t="inlineStr">
        <is>
          <t>FUNCTION_BLOCK</t>
        </is>
      </c>
      <c r="I6" s="40" t="inlineStr">
        <is>
          <t>S</t>
        </is>
      </c>
      <c r="J6" s="40" t="inlineStr">
        <is>
          <t>N</t>
        </is>
      </c>
      <c r="K6" s="40" t="inlineStr">
        <is>
          <t>S</t>
        </is>
      </c>
      <c r="L6" s="40" t="inlineStr">
        <is>
          <t>S</t>
        </is>
      </c>
      <c r="M6" s="40" t="inlineStr">
        <is>
          <t>S</t>
        </is>
      </c>
      <c r="N6" s="40" t="inlineStr">
        <is>
          <t>S</t>
        </is>
      </c>
      <c r="O6" s="40" t="inlineStr">
        <is>
          <t>S</t>
        </is>
      </c>
      <c r="P6" s="40" t="n">
        <v>1</v>
      </c>
      <c r="Q6" s="40" t="inlineStr">
        <is>
          <t>N</t>
        </is>
      </c>
      <c r="R6" s="41" t="inlineStr">
        <is>
          <t>E/S completas; FB bien justificado por memoria; plantea parada por tanque lleno, rearme tras pozo seco, tipo de botón y luz; adicional NO/NC.</t>
        </is>
      </c>
      <c r="S6" s="42">
        <f>COUNTIF(B6,"S")+COUNTIF(C6,"S")+COUNTIF(D6,"S")+COUNTIF(E6,"S")+COUNTIF(F6,"S")</f>
        <v/>
      </c>
      <c r="T6" s="42">
        <f>COUNTIF(J6,"S")+COUNTIF(K6,"S")+COUNTIF(L6,"S")+COUNTIF(M6,"S")+COUNTIF(N6,"S")+COUNTIF(O6,"S")</f>
        <v/>
      </c>
      <c r="U6" s="42">
        <f>IF(AND(B6&lt;&gt;"",C6&lt;&gt;"",D6&lt;&gt;"",E6&lt;&gt;"",F6&lt;&gt;"",G6&lt;&gt;"",H6&lt;&gt;"",I6&lt;&gt;"",J6&lt;&gt;"",K6&lt;&gt;"",L6&lt;&gt;"",M6&lt;&gt;"",N6&lt;&gt;"",O6&lt;&gt;"",P6&lt;&gt;"",Q6&lt;&gt;""),"Completa","Falta")</f>
        <v/>
      </c>
    </row>
    <row r="7" ht="21.75" customHeight="1" s="22">
      <c r="A7" s="39" t="inlineStr">
        <is>
          <t>C2-186</t>
        </is>
      </c>
      <c r="B7" s="40" t="inlineStr">
        <is>
          <t>S</t>
        </is>
      </c>
      <c r="C7" s="40" t="inlineStr">
        <is>
          <t>N</t>
        </is>
      </c>
      <c r="D7" s="40" t="inlineStr">
        <is>
          <t>S</t>
        </is>
      </c>
      <c r="E7" s="40" t="inlineStr">
        <is>
          <t>S</t>
        </is>
      </c>
      <c r="F7" s="40" t="inlineStr">
        <is>
          <t>S</t>
        </is>
      </c>
      <c r="G7" s="40" t="inlineStr">
        <is>
          <t>S</t>
        </is>
      </c>
      <c r="H7" s="40" t="inlineStr">
        <is>
          <t>PROGRAM</t>
        </is>
      </c>
      <c r="I7" s="40" t="inlineStr">
        <is>
          <t>S</t>
        </is>
      </c>
      <c r="J7" s="40" t="inlineStr">
        <is>
          <t>N</t>
        </is>
      </c>
      <c r="K7" s="40" t="inlineStr">
        <is>
          <t>N</t>
        </is>
      </c>
      <c r="L7" s="40" t="inlineStr">
        <is>
          <t>N</t>
        </is>
      </c>
      <c r="M7" s="40" t="inlineStr">
        <is>
          <t>N</t>
        </is>
      </c>
      <c r="N7" s="40" t="inlineStr">
        <is>
          <t>N</t>
        </is>
      </c>
      <c r="O7" s="40" t="inlineStr">
        <is>
          <t>N</t>
        </is>
      </c>
      <c r="P7" s="40" t="n">
        <v>2</v>
      </c>
      <c r="Q7" s="40" t="inlineStr">
        <is>
          <t>N</t>
        </is>
      </c>
      <c r="R7" s="41" t="inlineStr">
        <is>
          <t>Omite el sensor de agua del pozo e inventa temperatura; PumpStatus como estado de bomba; ambigüedades de la clave ausentes; adic: umbral térmico, tiempo mínimo de marcha.</t>
        </is>
      </c>
      <c r="S7" s="42">
        <f>COUNTIF(B7,"S")+COUNTIF(C7,"S")+COUNTIF(D7,"S")+COUNTIF(E7,"S")+COUNTIF(F7,"S")</f>
        <v/>
      </c>
      <c r="T7" s="42">
        <f>COUNTIF(J7,"S")+COUNTIF(K7,"S")+COUNTIF(L7,"S")+COUNTIF(M7,"S")+COUNTIF(N7,"S")+COUNTIF(O7,"S")</f>
        <v/>
      </c>
      <c r="U7" s="42">
        <f>IF(AND(B7&lt;&gt;"",C7&lt;&gt;"",D7&lt;&gt;"",E7&lt;&gt;"",F7&lt;&gt;"",G7&lt;&gt;"",H7&lt;&gt;"",I7&lt;&gt;"",J7&lt;&gt;"",K7&lt;&gt;"",L7&lt;&gt;"",M7&lt;&gt;"",N7&lt;&gt;"",O7&lt;&gt;"",P7&lt;&gt;"",Q7&lt;&gt;""),"Completa","Falta")</f>
        <v/>
      </c>
    </row>
    <row r="8" ht="21.75" customHeight="1" s="22">
      <c r="A8" s="39" t="inlineStr">
        <is>
          <t>C2-176</t>
        </is>
      </c>
      <c r="B8" s="40" t="inlineStr">
        <is>
          <t>S</t>
        </is>
      </c>
      <c r="C8" s="40" t="inlineStr">
        <is>
          <t>S</t>
        </is>
      </c>
      <c r="D8" s="40" t="inlineStr">
        <is>
          <t>S</t>
        </is>
      </c>
      <c r="E8" s="40" t="inlineStr">
        <is>
          <t>S</t>
        </is>
      </c>
      <c r="F8" s="40" t="inlineStr">
        <is>
          <t>S</t>
        </is>
      </c>
      <c r="G8" s="40" t="inlineStr">
        <is>
          <t>S</t>
        </is>
      </c>
      <c r="H8" s="40" t="inlineStr">
        <is>
          <t>FUNCTION_BLOCK</t>
        </is>
      </c>
      <c r="I8" s="40" t="inlineStr">
        <is>
          <t>S</t>
        </is>
      </c>
      <c r="J8" s="40" t="inlineStr">
        <is>
          <t>N</t>
        </is>
      </c>
      <c r="K8" s="40" t="inlineStr">
        <is>
          <t>N</t>
        </is>
      </c>
      <c r="L8" s="40" t="inlineStr">
        <is>
          <t>N</t>
        </is>
      </c>
      <c r="M8" s="40" t="inlineStr">
        <is>
          <t>N</t>
        </is>
      </c>
      <c r="N8" s="40" t="inlineStr">
        <is>
          <t>S</t>
        </is>
      </c>
      <c r="O8" s="40" t="inlineStr">
        <is>
          <t>N</t>
        </is>
      </c>
      <c r="P8" s="40" t="n">
        <v>2</v>
      </c>
      <c r="Q8" s="40" t="inlineStr">
        <is>
          <t>N</t>
        </is>
      </c>
      <c r="R8" s="41" t="inlineStr">
        <is>
          <t>E/S completas; solo plantea qué agrupa la luz; adic: sensor de sobrecalentamiento y anti-ciclado de arranques.</t>
        </is>
      </c>
      <c r="S8" s="42">
        <f>COUNTIF(B8,"S")+COUNTIF(C8,"S")+COUNTIF(D8,"S")+COUNTIF(E8,"S")+COUNTIF(F8,"S")</f>
        <v/>
      </c>
      <c r="T8" s="42">
        <f>COUNTIF(J8,"S")+COUNTIF(K8,"S")+COUNTIF(L8,"S")+COUNTIF(M8,"S")+COUNTIF(N8,"S")+COUNTIF(O8,"S")</f>
        <v/>
      </c>
      <c r="U8" s="42">
        <f>IF(AND(B8&lt;&gt;"",C8&lt;&gt;"",D8&lt;&gt;"",E8&lt;&gt;"",F8&lt;&gt;"",G8&lt;&gt;"",H8&lt;&gt;"",I8&lt;&gt;"",J8&lt;&gt;"",K8&lt;&gt;"",L8&lt;&gt;"",M8&lt;&gt;"",N8&lt;&gt;"",O8&lt;&gt;"",P8&lt;&gt;"",Q8&lt;&gt;""),"Completa","Falta")</f>
        <v/>
      </c>
    </row>
    <row r="9" ht="21.75" customHeight="1" s="22">
      <c r="A9" s="39" t="inlineStr">
        <is>
          <t>C2-154</t>
        </is>
      </c>
      <c r="B9" s="40" t="inlineStr">
        <is>
          <t>S</t>
        </is>
      </c>
      <c r="C9" s="40" t="inlineStr">
        <is>
          <t>S</t>
        </is>
      </c>
      <c r="D9" s="40" t="inlineStr">
        <is>
          <t>S</t>
        </is>
      </c>
      <c r="E9" s="40" t="inlineStr">
        <is>
          <t>S</t>
        </is>
      </c>
      <c r="F9" s="40" t="inlineStr">
        <is>
          <t>S</t>
        </is>
      </c>
      <c r="G9" s="40" t="inlineStr">
        <is>
          <t>S</t>
        </is>
      </c>
      <c r="H9" s="40" t="inlineStr">
        <is>
          <t>PROGRAM</t>
        </is>
      </c>
      <c r="I9" s="40" t="inlineStr">
        <is>
          <t>S</t>
        </is>
      </c>
      <c r="J9" s="40" t="inlineStr">
        <is>
          <t>N</t>
        </is>
      </c>
      <c r="K9" s="40" t="inlineStr">
        <is>
          <t>N</t>
        </is>
      </c>
      <c r="L9" s="40" t="inlineStr">
        <is>
          <t>S</t>
        </is>
      </c>
      <c r="M9" s="40" t="inlineStr">
        <is>
          <t>N</t>
        </is>
      </c>
      <c r="N9" s="40" t="inlineStr">
        <is>
          <t>N</t>
        </is>
      </c>
      <c r="O9" s="40" t="inlineStr">
        <is>
          <t>N</t>
        </is>
      </c>
      <c r="P9" s="40" t="n">
        <v>3</v>
      </c>
      <c r="Q9" s="40" t="inlineStr">
        <is>
          <t>N</t>
        </is>
      </c>
      <c r="R9" s="41" t="inlineStr">
        <is>
          <t>E/S completas (añade sobretemperatura); plantea límite de tiempo sin agua en marcha; adic: umbral térmico, umbral 'sin agua', falla de sensor.</t>
        </is>
      </c>
      <c r="S9" s="42">
        <f>COUNTIF(B9,"S")+COUNTIF(C9,"S")+COUNTIF(D9,"S")+COUNTIF(E9,"S")+COUNTIF(F9,"S")</f>
        <v/>
      </c>
      <c r="T9" s="42">
        <f>COUNTIF(J9,"S")+COUNTIF(K9,"S")+COUNTIF(L9,"S")+COUNTIF(M9,"S")+COUNTIF(N9,"S")+COUNTIF(O9,"S")</f>
        <v/>
      </c>
      <c r="U9" s="42">
        <f>IF(AND(B9&lt;&gt;"",C9&lt;&gt;"",D9&lt;&gt;"",E9&lt;&gt;"",F9&lt;&gt;"",G9&lt;&gt;"",H9&lt;&gt;"",I9&lt;&gt;"",J9&lt;&gt;"",K9&lt;&gt;"",L9&lt;&gt;"",M9&lt;&gt;"",N9&lt;&gt;"",O9&lt;&gt;"",P9&lt;&gt;"",Q9&lt;&gt;""),"Completa","Falta")</f>
        <v/>
      </c>
    </row>
    <row r="10" ht="21.75" customHeight="1" s="22">
      <c r="A10" s="39" t="inlineStr">
        <is>
          <t>C2-127</t>
        </is>
      </c>
      <c r="B10" s="40" t="inlineStr">
        <is>
          <t>S</t>
        </is>
      </c>
      <c r="C10" s="40" t="inlineStr">
        <is>
          <t>S</t>
        </is>
      </c>
      <c r="D10" s="40" t="inlineStr">
        <is>
          <t>S</t>
        </is>
      </c>
      <c r="E10" s="40" t="inlineStr">
        <is>
          <t>S</t>
        </is>
      </c>
      <c r="F10" s="40" t="inlineStr">
        <is>
          <t>S</t>
        </is>
      </c>
      <c r="G10" s="40" t="inlineStr">
        <is>
          <t>S</t>
        </is>
      </c>
      <c r="H10" s="40" t="inlineStr">
        <is>
          <t>FUNCTION_BLOCK</t>
        </is>
      </c>
      <c r="I10" s="40" t="inlineStr">
        <is>
          <t>S</t>
        </is>
      </c>
      <c r="J10" s="40" t="inlineStr">
        <is>
          <t>N</t>
        </is>
      </c>
      <c r="K10" s="40" t="inlineStr">
        <is>
          <t>S</t>
        </is>
      </c>
      <c r="L10" s="40" t="inlineStr">
        <is>
          <t>S</t>
        </is>
      </c>
      <c r="M10" s="40" t="inlineStr">
        <is>
          <t>S</t>
        </is>
      </c>
      <c r="N10" s="40" t="inlineStr">
        <is>
          <t>S</t>
        </is>
      </c>
      <c r="O10" s="40" t="inlineStr">
        <is>
          <t>S</t>
        </is>
      </c>
      <c r="P10" s="40" t="n">
        <v>5</v>
      </c>
      <c r="Q10" s="40" t="inlineStr">
        <is>
          <t>N</t>
        </is>
      </c>
      <c r="R10" s="41" t="inlineStr">
        <is>
          <t>Muy completa; cubre A2-A6 (NO/NC no equivale a digital/analógica); adic: NO/NC, retroalimentación, temporización, prioridades, SIL.</t>
        </is>
      </c>
      <c r="S10" s="42">
        <f>COUNTIF(B10,"S")+COUNTIF(C10,"S")+COUNTIF(D10,"S")+COUNTIF(E10,"S")+COUNTIF(F10,"S")</f>
        <v/>
      </c>
      <c r="T10" s="42">
        <f>COUNTIF(J10,"S")+COUNTIF(K10,"S")+COUNTIF(L10,"S")+COUNTIF(M10,"S")+COUNTIF(N10,"S")+COUNTIF(O10,"S")</f>
        <v/>
      </c>
      <c r="U10" s="42">
        <f>IF(AND(B10&lt;&gt;"",C10&lt;&gt;"",D10&lt;&gt;"",E10&lt;&gt;"",F10&lt;&gt;"",G10&lt;&gt;"",H10&lt;&gt;"",I10&lt;&gt;"",J10&lt;&gt;"",K10&lt;&gt;"",L10&lt;&gt;"",M10&lt;&gt;"",N10&lt;&gt;"",O10&lt;&gt;"",P10&lt;&gt;"",Q10&lt;&gt;""),"Completa","Falta")</f>
        <v/>
      </c>
    </row>
    <row r="11" ht="21.75" customHeight="1" s="22">
      <c r="A11" s="39" t="inlineStr">
        <is>
          <t>C2-179</t>
        </is>
      </c>
      <c r="B11" s="40" t="inlineStr">
        <is>
          <t>S</t>
        </is>
      </c>
      <c r="C11" s="40" t="inlineStr">
        <is>
          <t>N</t>
        </is>
      </c>
      <c r="D11" s="40" t="inlineStr">
        <is>
          <t>S</t>
        </is>
      </c>
      <c r="E11" s="40" t="inlineStr">
        <is>
          <t>S</t>
        </is>
      </c>
      <c r="F11" s="40" t="inlineStr">
        <is>
          <t>S</t>
        </is>
      </c>
      <c r="G11" s="40" t="inlineStr">
        <is>
          <t>S</t>
        </is>
      </c>
      <c r="H11" s="40" t="inlineStr">
        <is>
          <t>PROGRAM</t>
        </is>
      </c>
      <c r="I11" s="40" t="inlineStr">
        <is>
          <t>S</t>
        </is>
      </c>
      <c r="J11" s="40" t="inlineStr">
        <is>
          <t>N</t>
        </is>
      </c>
      <c r="K11" s="40" t="inlineStr">
        <is>
          <t>N</t>
        </is>
      </c>
      <c r="L11" s="40" t="inlineStr">
        <is>
          <t>N</t>
        </is>
      </c>
      <c r="M11" s="40" t="inlineStr">
        <is>
          <t>N</t>
        </is>
      </c>
      <c r="N11" s="40" t="inlineStr">
        <is>
          <t>N</t>
        </is>
      </c>
      <c r="O11" s="40" t="inlineStr">
        <is>
          <t>N</t>
        </is>
      </c>
      <c r="P11" s="40" t="n">
        <v>2</v>
      </c>
      <c r="Q11" s="40" t="inlineStr">
        <is>
          <t>N</t>
        </is>
      </c>
      <c r="R11" s="41" t="inlineStr">
        <is>
          <t>Omite el sensor de agua del pozo (núcleo del requisito); ambigüedades genéricas fuera de la clave; adic: definición de 'quemarse', método de detección del pozo.</t>
        </is>
      </c>
      <c r="S11" s="42">
        <f>COUNTIF(B11,"S")+COUNTIF(C11,"S")+COUNTIF(D11,"S")+COUNTIF(E11,"S")+COUNTIF(F11,"S")</f>
        <v/>
      </c>
      <c r="T11" s="42">
        <f>COUNTIF(J11,"S")+COUNTIF(K11,"S")+COUNTIF(L11,"S")+COUNTIF(M11,"S")+COUNTIF(N11,"S")+COUNTIF(O11,"S")</f>
        <v/>
      </c>
      <c r="U11" s="42">
        <f>IF(AND(B11&lt;&gt;"",C11&lt;&gt;"",D11&lt;&gt;"",E11&lt;&gt;"",F11&lt;&gt;"",G11&lt;&gt;"",H11&lt;&gt;"",I11&lt;&gt;"",J11&lt;&gt;"",K11&lt;&gt;"",L11&lt;&gt;"",M11&lt;&gt;"",N11&lt;&gt;"",O11&lt;&gt;"",P11&lt;&gt;"",Q11&lt;&gt;""),"Completa","Falta")</f>
        <v/>
      </c>
    </row>
    <row r="12" ht="21.75" customHeight="1" s="22">
      <c r="A12" s="39" t="inlineStr">
        <is>
          <t>C2-166</t>
        </is>
      </c>
      <c r="B12" s="40" t="inlineStr">
        <is>
          <t>N</t>
        </is>
      </c>
      <c r="C12" s="40" t="inlineStr">
        <is>
          <t>S</t>
        </is>
      </c>
      <c r="D12" s="40" t="inlineStr">
        <is>
          <t>S</t>
        </is>
      </c>
      <c r="E12" s="40" t="inlineStr">
        <is>
          <t>S</t>
        </is>
      </c>
      <c r="F12" s="40" t="inlineStr">
        <is>
          <t>S</t>
        </is>
      </c>
      <c r="G12" s="40" t="inlineStr">
        <is>
          <t>S</t>
        </is>
      </c>
      <c r="H12" s="40" t="inlineStr">
        <is>
          <t>FUNCTION_BLOCK</t>
        </is>
      </c>
      <c r="I12" s="40" t="inlineStr">
        <is>
          <t>S</t>
        </is>
      </c>
      <c r="J12" s="40" t="inlineStr">
        <is>
          <t>N</t>
        </is>
      </c>
      <c r="K12" s="40" t="inlineStr">
        <is>
          <t>S</t>
        </is>
      </c>
      <c r="L12" s="40" t="inlineStr">
        <is>
          <t>N</t>
        </is>
      </c>
      <c r="M12" s="40" t="inlineStr">
        <is>
          <t>S</t>
        </is>
      </c>
      <c r="N12" s="40" t="inlineStr">
        <is>
          <t>S</t>
        </is>
      </c>
      <c r="O12" s="40" t="inlineStr">
        <is>
          <t>N</t>
        </is>
      </c>
      <c r="P12" s="40" t="n">
        <v>1</v>
      </c>
      <c r="Q12" s="40" t="inlineStr">
        <is>
          <t>N</t>
        </is>
      </c>
      <c r="R12" s="41" t="inlineStr">
        <is>
          <t>No hay entrada clara de nivel del tanque (StartPump confunde nivel con mando); plantea criterio de vacío, botón y luz; adic: pozo seco durante marcha.</t>
        </is>
      </c>
      <c r="S12" s="42">
        <f>COUNTIF(B12,"S")+COUNTIF(C12,"S")+COUNTIF(D12,"S")+COUNTIF(E12,"S")+COUNTIF(F12,"S")</f>
        <v/>
      </c>
      <c r="T12" s="42">
        <f>COUNTIF(J12,"S")+COUNTIF(K12,"S")+COUNTIF(L12,"S")+COUNTIF(M12,"S")+COUNTIF(N12,"S")+COUNTIF(O12,"S")</f>
        <v/>
      </c>
      <c r="U12" s="42">
        <f>IF(AND(B12&lt;&gt;"",C12&lt;&gt;"",D12&lt;&gt;"",E12&lt;&gt;"",F12&lt;&gt;"",G12&lt;&gt;"",H12&lt;&gt;"",I12&lt;&gt;"",J12&lt;&gt;"",K12&lt;&gt;"",L12&lt;&gt;"",M12&lt;&gt;"",N12&lt;&gt;"",O12&lt;&gt;"",P12&lt;&gt;"",Q12&lt;&gt;""),"Completa","Falta")</f>
        <v/>
      </c>
    </row>
    <row r="13" ht="21.75" customHeight="1" s="22">
      <c r="A13" s="39" t="inlineStr">
        <is>
          <t>C2-194</t>
        </is>
      </c>
      <c r="B13" s="40" t="inlineStr">
        <is>
          <t>S</t>
        </is>
      </c>
      <c r="C13" s="40" t="inlineStr">
        <is>
          <t>S</t>
        </is>
      </c>
      <c r="D13" s="40" t="inlineStr">
        <is>
          <t>S</t>
        </is>
      </c>
      <c r="E13" s="40" t="inlineStr">
        <is>
          <t>S</t>
        </is>
      </c>
      <c r="F13" s="40" t="inlineStr">
        <is>
          <t>S</t>
        </is>
      </c>
      <c r="G13" s="40" t="inlineStr">
        <is>
          <t>S</t>
        </is>
      </c>
      <c r="H13" s="40" t="inlineStr">
        <is>
          <t>FUNCTION_BLOCK</t>
        </is>
      </c>
      <c r="I13" s="40" t="inlineStr">
        <is>
          <t>S</t>
        </is>
      </c>
      <c r="J13" s="40" t="inlineStr">
        <is>
          <t>N</t>
        </is>
      </c>
      <c r="K13" s="40" t="inlineStr">
        <is>
          <t>S</t>
        </is>
      </c>
      <c r="L13" s="40" t="inlineStr">
        <is>
          <t>S</t>
        </is>
      </c>
      <c r="M13" s="40" t="inlineStr">
        <is>
          <t>N</t>
        </is>
      </c>
      <c r="N13" s="40" t="inlineStr">
        <is>
          <t>S</t>
        </is>
      </c>
      <c r="O13" s="40" t="inlineStr">
        <is>
          <t>N</t>
        </is>
      </c>
      <c r="P13" s="40" t="n">
        <v>2</v>
      </c>
      <c r="Q13" s="40" t="inlineStr">
        <is>
          <t>N</t>
        </is>
      </c>
      <c r="R13" s="41" t="inlineStr">
        <is>
          <t>E/S completas más botón de arranque no pedido; plantea parada por llenado, reset tras falla y luz; adic: retardos y prioridad manual/automático.</t>
        </is>
      </c>
      <c r="S13" s="42">
        <f>COUNTIF(B13,"S")+COUNTIF(C13,"S")+COUNTIF(D13,"S")+COUNTIF(E13,"S")+COUNTIF(F13,"S")</f>
        <v/>
      </c>
      <c r="T13" s="42">
        <f>COUNTIF(J13,"S")+COUNTIF(K13,"S")+COUNTIF(L13,"S")+COUNTIF(M13,"S")+COUNTIF(N13,"S")+COUNTIF(O13,"S")</f>
        <v/>
      </c>
      <c r="U13" s="42">
        <f>IF(AND(B13&lt;&gt;"",C13&lt;&gt;"",D13&lt;&gt;"",E13&lt;&gt;"",F13&lt;&gt;"",G13&lt;&gt;"",H13&lt;&gt;"",I13&lt;&gt;"",J13&lt;&gt;"",K13&lt;&gt;"",L13&lt;&gt;"",M13&lt;&gt;"",N13&lt;&gt;"",O13&lt;&gt;"",P13&lt;&gt;"",Q13&lt;&gt;""),"Completa","Falta")</f>
        <v/>
      </c>
    </row>
    <row r="14" ht="21.75" customHeight="1" s="22">
      <c r="A14" s="39" t="inlineStr">
        <is>
          <t>C2-145</t>
        </is>
      </c>
      <c r="B14" s="40" t="inlineStr">
        <is>
          <t>S</t>
        </is>
      </c>
      <c r="C14" s="40" t="inlineStr">
        <is>
          <t>S</t>
        </is>
      </c>
      <c r="D14" s="40" t="inlineStr">
        <is>
          <t>S</t>
        </is>
      </c>
      <c r="E14" s="40" t="inlineStr">
        <is>
          <t>S</t>
        </is>
      </c>
      <c r="F14" s="40" t="inlineStr">
        <is>
          <t>S</t>
        </is>
      </c>
      <c r="G14" s="40" t="inlineStr">
        <is>
          <t>S</t>
        </is>
      </c>
      <c r="H14" s="40" t="inlineStr">
        <is>
          <t>FUNCTION_BLOCK</t>
        </is>
      </c>
      <c r="I14" s="40" t="inlineStr">
        <is>
          <t>S</t>
        </is>
      </c>
      <c r="J14" s="40" t="inlineStr">
        <is>
          <t>N</t>
        </is>
      </c>
      <c r="K14" s="40" t="inlineStr">
        <is>
          <t>S</t>
        </is>
      </c>
      <c r="L14" s="40" t="inlineStr">
        <is>
          <t>S</t>
        </is>
      </c>
      <c r="M14" s="40" t="inlineStr">
        <is>
          <t>S</t>
        </is>
      </c>
      <c r="N14" s="40" t="inlineStr">
        <is>
          <t>S</t>
        </is>
      </c>
      <c r="O14" s="40" t="inlineStr">
        <is>
          <t>N</t>
        </is>
      </c>
      <c r="P14" s="40" t="n">
        <v>1</v>
      </c>
      <c r="Q14" s="40" t="inlineStr">
        <is>
          <t>N</t>
        </is>
      </c>
      <c r="R14" s="41" t="inlineStr">
        <is>
          <t>E/S completas; plantea parada automática, rearme tras paro manual, luz y reset de alarma (rearme); no aborda rearranque de la bomba al volver el agua; adic NO/NC.</t>
        </is>
      </c>
      <c r="S14" s="42">
        <f>COUNTIF(B14,"S")+COUNTIF(C14,"S")+COUNTIF(D14,"S")+COUNTIF(E14,"S")+COUNTIF(F14,"S")</f>
        <v/>
      </c>
      <c r="T14" s="42">
        <f>COUNTIF(J14,"S")+COUNTIF(K14,"S")+COUNTIF(L14,"S")+COUNTIF(M14,"S")+COUNTIF(N14,"S")+COUNTIF(O14,"S")</f>
        <v/>
      </c>
      <c r="U14" s="42">
        <f>IF(AND(B14&lt;&gt;"",C14&lt;&gt;"",D14&lt;&gt;"",E14&lt;&gt;"",F14&lt;&gt;"",G14&lt;&gt;"",H14&lt;&gt;"",I14&lt;&gt;"",J14&lt;&gt;"",K14&lt;&gt;"",L14&lt;&gt;"",M14&lt;&gt;"",N14&lt;&gt;"",O14&lt;&gt;"",P14&lt;&gt;"",Q14&lt;&gt;""),"Completa","Falta")</f>
        <v/>
      </c>
    </row>
    <row r="15" ht="21.75" customHeight="1" s="22">
      <c r="A15" s="39" t="inlineStr">
        <is>
          <t>C2-118</t>
        </is>
      </c>
      <c r="B15" s="40" t="inlineStr">
        <is>
          <t>S</t>
        </is>
      </c>
      <c r="C15" s="40" t="inlineStr">
        <is>
          <t>S</t>
        </is>
      </c>
      <c r="D15" s="40" t="inlineStr">
        <is>
          <t>S</t>
        </is>
      </c>
      <c r="E15" s="40" t="inlineStr">
        <is>
          <t>S</t>
        </is>
      </c>
      <c r="F15" s="40" t="inlineStr">
        <is>
          <t>S</t>
        </is>
      </c>
      <c r="G15" s="40" t="inlineStr">
        <is>
          <t>S</t>
        </is>
      </c>
      <c r="H15" s="40" t="inlineStr">
        <is>
          <t>FUNCTION_BLOCK</t>
        </is>
      </c>
      <c r="I15" s="40" t="inlineStr">
        <is>
          <t>S</t>
        </is>
      </c>
      <c r="J15" s="40" t="inlineStr">
        <is>
          <t>N</t>
        </is>
      </c>
      <c r="K15" s="40" t="inlineStr">
        <is>
          <t>N</t>
        </is>
      </c>
      <c r="L15" s="40" t="inlineStr">
        <is>
          <t>N</t>
        </is>
      </c>
      <c r="M15" s="40" t="inlineStr">
        <is>
          <t>N</t>
        </is>
      </c>
      <c r="N15" s="40" t="inlineStr">
        <is>
          <t>S</t>
        </is>
      </c>
      <c r="O15" s="40" t="inlineStr">
        <is>
          <t>N</t>
        </is>
      </c>
      <c r="P15" s="40" t="n">
        <v>2</v>
      </c>
      <c r="Q15" s="40" t="inlineStr">
        <is>
          <t>N</t>
        </is>
      </c>
      <c r="R15" s="41" t="inlineStr">
        <is>
          <t>bombaArrancada descrita como estado más que mando; solo plantea condiciones de la luz; adic: tiempo máximo de marcha, prioridad de comandos.</t>
        </is>
      </c>
      <c r="S15" s="42">
        <f>COUNTIF(B15,"S")+COUNTIF(C15,"S")+COUNTIF(D15,"S")+COUNTIF(E15,"S")+COUNTIF(F15,"S")</f>
        <v/>
      </c>
      <c r="T15" s="42">
        <f>COUNTIF(J15,"S")+COUNTIF(K15,"S")+COUNTIF(L15,"S")+COUNTIF(M15,"S")+COUNTIF(N15,"S")+COUNTIF(O15,"S")</f>
        <v/>
      </c>
      <c r="U15" s="42">
        <f>IF(AND(B15&lt;&gt;"",C15&lt;&gt;"",D15&lt;&gt;"",E15&lt;&gt;"",F15&lt;&gt;"",G15&lt;&gt;"",H15&lt;&gt;"",I15&lt;&gt;"",J15&lt;&gt;"",K15&lt;&gt;"",L15&lt;&gt;"",M15&lt;&gt;"",N15&lt;&gt;"",O15&lt;&gt;"",P15&lt;&gt;"",Q15&lt;&gt;""),"Completa","Falta")</f>
        <v/>
      </c>
    </row>
    <row r="16" ht="21.75" customHeight="1" s="22">
      <c r="A16" s="39" t="inlineStr">
        <is>
          <t>C2-137</t>
        </is>
      </c>
      <c r="B16" s="40" t="inlineStr">
        <is>
          <t>S</t>
        </is>
      </c>
      <c r="C16" s="40" t="inlineStr">
        <is>
          <t>S</t>
        </is>
      </c>
      <c r="D16" s="40" t="inlineStr">
        <is>
          <t>S</t>
        </is>
      </c>
      <c r="E16" s="40" t="inlineStr">
        <is>
          <t>S</t>
        </is>
      </c>
      <c r="F16" s="40" t="inlineStr">
        <is>
          <t>S</t>
        </is>
      </c>
      <c r="G16" s="40" t="inlineStr">
        <is>
          <t>S</t>
        </is>
      </c>
      <c r="H16" s="40" t="inlineStr">
        <is>
          <t>FUNCTION_BLOCK</t>
        </is>
      </c>
      <c r="I16" s="40" t="inlineStr">
        <is>
          <t>S</t>
        </is>
      </c>
      <c r="J16" s="40" t="inlineStr">
        <is>
          <t>N</t>
        </is>
      </c>
      <c r="K16" s="40" t="inlineStr">
        <is>
          <t>S</t>
        </is>
      </c>
      <c r="L16" s="40" t="inlineStr">
        <is>
          <t>S</t>
        </is>
      </c>
      <c r="M16" s="40" t="inlineStr">
        <is>
          <t>S</t>
        </is>
      </c>
      <c r="N16" s="40" t="inlineStr">
        <is>
          <t>S</t>
        </is>
      </c>
      <c r="O16" s="40" t="inlineStr">
        <is>
          <t>S</t>
        </is>
      </c>
      <c r="P16" s="40" t="n">
        <v>1</v>
      </c>
      <c r="Q16" s="40" t="inlineStr">
        <is>
          <t>N</t>
        </is>
      </c>
      <c r="R16" s="41" t="inlineStr">
        <is>
          <t>Añade tanque lleno, térmico y rearme; cubre A2-A6; no pregunta digital/analógico; adic NO/NC.</t>
        </is>
      </c>
      <c r="S16" s="42">
        <f>COUNTIF(B16,"S")+COUNTIF(C16,"S")+COUNTIF(D16,"S")+COUNTIF(E16,"S")+COUNTIF(F16,"S")</f>
        <v/>
      </c>
      <c r="T16" s="42">
        <f>COUNTIF(J16,"S")+COUNTIF(K16,"S")+COUNTIF(L16,"S")+COUNTIF(M16,"S")+COUNTIF(N16,"S")+COUNTIF(O16,"S")</f>
        <v/>
      </c>
      <c r="U16" s="42">
        <f>IF(AND(B16&lt;&gt;"",C16&lt;&gt;"",D16&lt;&gt;"",E16&lt;&gt;"",F16&lt;&gt;"",G16&lt;&gt;"",H16&lt;&gt;"",I16&lt;&gt;"",J16&lt;&gt;"",K16&lt;&gt;"",L16&lt;&gt;"",M16&lt;&gt;"",N16&lt;&gt;"",O16&lt;&gt;"",P16&lt;&gt;"",Q16&lt;&gt;""),"Completa","Falta")</f>
        <v/>
      </c>
    </row>
    <row r="17" ht="21.75" customHeight="1" s="22">
      <c r="A17" s="39" t="inlineStr">
        <is>
          <t>C2-129</t>
        </is>
      </c>
      <c r="B17" s="40" t="inlineStr">
        <is>
          <t>S</t>
        </is>
      </c>
      <c r="C17" s="40" t="inlineStr">
        <is>
          <t>S</t>
        </is>
      </c>
      <c r="D17" s="40" t="inlineStr">
        <is>
          <t>S</t>
        </is>
      </c>
      <c r="E17" s="40" t="inlineStr">
        <is>
          <t>S</t>
        </is>
      </c>
      <c r="F17" s="40" t="inlineStr">
        <is>
          <t>S</t>
        </is>
      </c>
      <c r="G17" s="40" t="inlineStr">
        <is>
          <t>S</t>
        </is>
      </c>
      <c r="H17" s="40" t="inlineStr">
        <is>
          <t>FUNCTION_BLOCK</t>
        </is>
      </c>
      <c r="I17" s="40" t="inlineStr">
        <is>
          <t>S</t>
        </is>
      </c>
      <c r="J17" s="40" t="inlineStr">
        <is>
          <t>S</t>
        </is>
      </c>
      <c r="K17" s="40" t="inlineStr">
        <is>
          <t>S</t>
        </is>
      </c>
      <c r="L17" s="40" t="inlineStr">
        <is>
          <t>S</t>
        </is>
      </c>
      <c r="M17" s="40" t="inlineStr">
        <is>
          <t>S</t>
        </is>
      </c>
      <c r="N17" s="40" t="inlineStr">
        <is>
          <t>S</t>
        </is>
      </c>
      <c r="O17" s="40" t="inlineStr">
        <is>
          <t>N</t>
        </is>
      </c>
      <c r="P17" s="40" t="n">
        <v>6</v>
      </c>
      <c r="Q17" s="40" t="inlineStr">
        <is>
          <t>N</t>
        </is>
      </c>
      <c r="R17" s="41" t="inlineStr">
        <is>
          <t>Muy completa, única con digital/analógico e histéresis; no plantea qué pasa al volver el agua al pozo; adic: retroalimentación, anti-ciclado, rearme guardamotor, tipo de motor, HMI, SIL.</t>
        </is>
      </c>
      <c r="S17" s="42">
        <f>COUNTIF(B17,"S")+COUNTIF(C17,"S")+COUNTIF(D17,"S")+COUNTIF(E17,"S")+COUNTIF(F17,"S")</f>
        <v/>
      </c>
      <c r="T17" s="42">
        <f>COUNTIF(J17,"S")+COUNTIF(K17,"S")+COUNTIF(L17,"S")+COUNTIF(M17,"S")+COUNTIF(N17,"S")+COUNTIF(O17,"S")</f>
        <v/>
      </c>
      <c r="U17" s="42">
        <f>IF(AND(B17&lt;&gt;"",C17&lt;&gt;"",D17&lt;&gt;"",E17&lt;&gt;"",F17&lt;&gt;"",G17&lt;&gt;"",H17&lt;&gt;"",I17&lt;&gt;"",J17&lt;&gt;"",K17&lt;&gt;"",L17&lt;&gt;"",M17&lt;&gt;"",N17&lt;&gt;"",O17&lt;&gt;"",P17&lt;&gt;"",Q17&lt;&gt;""),"Completa","Falta")</f>
        <v/>
      </c>
    </row>
    <row r="18" ht="21.75" customHeight="1" s="22">
      <c r="A18" s="39" t="inlineStr">
        <is>
          <t>C2-149</t>
        </is>
      </c>
      <c r="B18" s="40" t="inlineStr">
        <is>
          <t>S</t>
        </is>
      </c>
      <c r="C18" s="40" t="inlineStr">
        <is>
          <t>S</t>
        </is>
      </c>
      <c r="D18" s="40" t="inlineStr">
        <is>
          <t>S</t>
        </is>
      </c>
      <c r="E18" s="40" t="inlineStr">
        <is>
          <t>S</t>
        </is>
      </c>
      <c r="F18" s="40" t="inlineStr">
        <is>
          <t>S</t>
        </is>
      </c>
      <c r="G18" s="40" t="inlineStr">
        <is>
          <t>S</t>
        </is>
      </c>
      <c r="H18" s="40" t="inlineStr">
        <is>
          <t>FUNCTION_BLOCK</t>
        </is>
      </c>
      <c r="I18" s="40" t="inlineStr">
        <is>
          <t>S</t>
        </is>
      </c>
      <c r="J18" s="40" t="inlineStr">
        <is>
          <t>S</t>
        </is>
      </c>
      <c r="K18" s="40" t="inlineStr">
        <is>
          <t>S</t>
        </is>
      </c>
      <c r="L18" s="40" t="inlineStr">
        <is>
          <t>S</t>
        </is>
      </c>
      <c r="M18" s="40" t="inlineStr">
        <is>
          <t>S</t>
        </is>
      </c>
      <c r="N18" s="40" t="inlineStr">
        <is>
          <t>S</t>
        </is>
      </c>
      <c r="O18" s="40" t="inlineStr">
        <is>
          <t>S</t>
        </is>
      </c>
      <c r="P18" s="40" t="n">
        <v>5</v>
      </c>
      <c r="Q18" s="40" t="inlineStr">
        <is>
          <t>N</t>
        </is>
      </c>
      <c r="R18" s="41" t="inlineStr">
        <is>
          <t>Cubre las 6 ambigüedades de la clave; adic: ACK de alarma, guardamotor, retardos, modo manual/auto, registro/HMI.</t>
        </is>
      </c>
      <c r="S18" s="42">
        <f>COUNTIF(B18,"S")+COUNTIF(C18,"S")+COUNTIF(D18,"S")+COUNTIF(E18,"S")+COUNTIF(F18,"S")</f>
        <v/>
      </c>
      <c r="T18" s="42">
        <f>COUNTIF(J18,"S")+COUNTIF(K18,"S")+COUNTIF(L18,"S")+COUNTIF(M18,"S")+COUNTIF(N18,"S")+COUNTIF(O18,"S")</f>
        <v/>
      </c>
      <c r="U18" s="42">
        <f>IF(AND(B18&lt;&gt;"",C18&lt;&gt;"",D18&lt;&gt;"",E18&lt;&gt;"",F18&lt;&gt;"",G18&lt;&gt;"",H18&lt;&gt;"",I18&lt;&gt;"",J18&lt;&gt;"",K18&lt;&gt;"",L18&lt;&gt;"",M18&lt;&gt;"",N18&lt;&gt;"",O18&lt;&gt;"",P18&lt;&gt;"",Q18&lt;&gt;""),"Completa","Falta")</f>
        <v/>
      </c>
    </row>
    <row r="19" ht="21.75" customHeight="1" s="22">
      <c r="A19" s="39" t="inlineStr">
        <is>
          <t>C2-169</t>
        </is>
      </c>
      <c r="B19" s="40" t="inlineStr">
        <is>
          <t>S</t>
        </is>
      </c>
      <c r="C19" s="40" t="inlineStr">
        <is>
          <t>S</t>
        </is>
      </c>
      <c r="D19" s="40" t="inlineStr">
        <is>
          <t>S</t>
        </is>
      </c>
      <c r="E19" s="40" t="inlineStr">
        <is>
          <t>S</t>
        </is>
      </c>
      <c r="F19" s="40" t="inlineStr">
        <is>
          <t>S</t>
        </is>
      </c>
      <c r="G19" s="40" t="inlineStr">
        <is>
          <t>S</t>
        </is>
      </c>
      <c r="H19" s="40" t="inlineStr">
        <is>
          <t>FUNCTION_BLOCK</t>
        </is>
      </c>
      <c r="I19" s="40" t="inlineStr">
        <is>
          <t>S</t>
        </is>
      </c>
      <c r="J19" s="40" t="inlineStr">
        <is>
          <t>N</t>
        </is>
      </c>
      <c r="K19" s="40" t="inlineStr">
        <is>
          <t>S</t>
        </is>
      </c>
      <c r="L19" s="40" t="inlineStr">
        <is>
          <t>S</t>
        </is>
      </c>
      <c r="M19" s="40" t="inlineStr">
        <is>
          <t>S</t>
        </is>
      </c>
      <c r="N19" s="40" t="inlineStr">
        <is>
          <t>S</t>
        </is>
      </c>
      <c r="O19" s="40" t="inlineStr">
        <is>
          <t>S</t>
        </is>
      </c>
      <c r="P19" s="40" t="n">
        <v>1</v>
      </c>
      <c r="Q19" s="40" t="inlineStr">
        <is>
          <t>N</t>
        </is>
      </c>
      <c r="R19" s="41" t="inlineStr">
        <is>
          <t>E/S completas con falla térmica; justificación con histéresis; cubre A2-A6; adic NO/NC.</t>
        </is>
      </c>
      <c r="S19" s="42">
        <f>COUNTIF(B19,"S")+COUNTIF(C19,"S")+COUNTIF(D19,"S")+COUNTIF(E19,"S")+COUNTIF(F19,"S")</f>
        <v/>
      </c>
      <c r="T19" s="42">
        <f>COUNTIF(J19,"S")+COUNTIF(K19,"S")+COUNTIF(L19,"S")+COUNTIF(M19,"S")+COUNTIF(N19,"S")+COUNTIF(O19,"S")</f>
        <v/>
      </c>
      <c r="U19" s="42">
        <f>IF(AND(B19&lt;&gt;"",C19&lt;&gt;"",D19&lt;&gt;"",E19&lt;&gt;"",F19&lt;&gt;"",G19&lt;&gt;"",H19&lt;&gt;"",I19&lt;&gt;"",J19&lt;&gt;"",K19&lt;&gt;"",L19&lt;&gt;"",M19&lt;&gt;"",N19&lt;&gt;"",O19&lt;&gt;"",P19&lt;&gt;"",Q19&lt;&gt;""),"Completa","Falta")</f>
        <v/>
      </c>
    </row>
    <row r="20" ht="21.75" customHeight="1" s="22">
      <c r="A20" s="39" t="inlineStr">
        <is>
          <t>C2-111</t>
        </is>
      </c>
      <c r="B20" s="40" t="inlineStr">
        <is>
          <t>S</t>
        </is>
      </c>
      <c r="C20" s="40" t="inlineStr">
        <is>
          <t>S</t>
        </is>
      </c>
      <c r="D20" s="40" t="inlineStr">
        <is>
          <t>S</t>
        </is>
      </c>
      <c r="E20" s="40" t="inlineStr">
        <is>
          <t>S</t>
        </is>
      </c>
      <c r="F20" s="40" t="inlineStr">
        <is>
          <t>S</t>
        </is>
      </c>
      <c r="G20" s="40" t="inlineStr">
        <is>
          <t>S</t>
        </is>
      </c>
      <c r="H20" s="40" t="inlineStr">
        <is>
          <t>FUNCTION_BLOCK</t>
        </is>
      </c>
      <c r="I20" s="40" t="inlineStr">
        <is>
          <t>S</t>
        </is>
      </c>
      <c r="J20" s="40" t="inlineStr">
        <is>
          <t>N</t>
        </is>
      </c>
      <c r="K20" s="40" t="inlineStr">
        <is>
          <t>S</t>
        </is>
      </c>
      <c r="L20" s="40" t="inlineStr">
        <is>
          <t>N</t>
        </is>
      </c>
      <c r="M20" s="40" t="inlineStr">
        <is>
          <t>N</t>
        </is>
      </c>
      <c r="N20" s="40" t="inlineStr">
        <is>
          <t>S</t>
        </is>
      </c>
      <c r="O20" s="40" t="inlineStr">
        <is>
          <t>S</t>
        </is>
      </c>
      <c r="P20" s="40" t="n">
        <v>0</v>
      </c>
      <c r="Q20" s="40" t="inlineStr">
        <is>
          <t>N</t>
        </is>
      </c>
      <c r="R20" s="41" t="inlineStr">
        <is>
          <t>E/S completas; plantea llenado, luz y espera antes de reintentar tras pozo vacío; resto son casos ya definidos por el enunciado.</t>
        </is>
      </c>
      <c r="S20" s="42">
        <f>COUNTIF(B20,"S")+COUNTIF(C20,"S")+COUNTIF(D20,"S")+COUNTIF(E20,"S")+COUNTIF(F20,"S")</f>
        <v/>
      </c>
      <c r="T20" s="42">
        <f>COUNTIF(J20,"S")+COUNTIF(K20,"S")+COUNTIF(L20,"S")+COUNTIF(M20,"S")+COUNTIF(N20,"S")+COUNTIF(O20,"S")</f>
        <v/>
      </c>
      <c r="U20" s="42">
        <f>IF(AND(B20&lt;&gt;"",C20&lt;&gt;"",D20&lt;&gt;"",E20&lt;&gt;"",F20&lt;&gt;"",G20&lt;&gt;"",H20&lt;&gt;"",I20&lt;&gt;"",J20&lt;&gt;"",K20&lt;&gt;"",L20&lt;&gt;"",M20&lt;&gt;"",N20&lt;&gt;"",O20&lt;&gt;"",P20&lt;&gt;"",Q20&lt;&gt;""),"Completa","Falta")</f>
        <v/>
      </c>
    </row>
    <row r="21" ht="21.75" customHeight="1" s="22">
      <c r="A21" s="39" t="inlineStr">
        <is>
          <t>C2-158</t>
        </is>
      </c>
      <c r="B21" s="40" t="inlineStr">
        <is>
          <t>S</t>
        </is>
      </c>
      <c r="C21" s="40" t="inlineStr">
        <is>
          <t>S</t>
        </is>
      </c>
      <c r="D21" s="40" t="inlineStr">
        <is>
          <t>S</t>
        </is>
      </c>
      <c r="E21" s="40" t="inlineStr">
        <is>
          <t>S</t>
        </is>
      </c>
      <c r="F21" s="40" t="inlineStr">
        <is>
          <t>S</t>
        </is>
      </c>
      <c r="G21" s="40" t="inlineStr">
        <is>
          <t>S</t>
        </is>
      </c>
      <c r="H21" s="40" t="inlineStr">
        <is>
          <t>FUNCTION_BLOCK</t>
        </is>
      </c>
      <c r="I21" s="40" t="inlineStr">
        <is>
          <t>S</t>
        </is>
      </c>
      <c r="J21" s="40" t="inlineStr">
        <is>
          <t>N</t>
        </is>
      </c>
      <c r="K21" s="40" t="inlineStr">
        <is>
          <t>S</t>
        </is>
      </c>
      <c r="L21" s="40" t="inlineStr">
        <is>
          <t>N</t>
        </is>
      </c>
      <c r="M21" s="40" t="inlineStr">
        <is>
          <t>S</t>
        </is>
      </c>
      <c r="N21" s="40" t="inlineStr">
        <is>
          <t>S</t>
        </is>
      </c>
      <c r="O21" s="40" t="inlineStr">
        <is>
          <t>N</t>
        </is>
      </c>
      <c r="P21" s="40" t="n">
        <v>2</v>
      </c>
      <c r="Q21" s="40" t="inlineStr">
        <is>
          <t>N</t>
        </is>
      </c>
      <c r="R21" s="41" t="inlineStr">
        <is>
          <t>E/S completas; plantea llenado, luz y si el paro actúa solo mientras se mantiene pulsado; adic: retardos, encendido manual.</t>
        </is>
      </c>
      <c r="S21" s="42">
        <f>COUNTIF(B21,"S")+COUNTIF(C21,"S")+COUNTIF(D21,"S")+COUNTIF(E21,"S")+COUNTIF(F21,"S")</f>
        <v/>
      </c>
      <c r="T21" s="42">
        <f>COUNTIF(J21,"S")+COUNTIF(K21,"S")+COUNTIF(L21,"S")+COUNTIF(M21,"S")+COUNTIF(N21,"S")+COUNTIF(O21,"S")</f>
        <v/>
      </c>
      <c r="U21" s="42">
        <f>IF(AND(B21&lt;&gt;"",C21&lt;&gt;"",D21&lt;&gt;"",E21&lt;&gt;"",F21&lt;&gt;"",G21&lt;&gt;"",H21&lt;&gt;"",I21&lt;&gt;"",J21&lt;&gt;"",K21&lt;&gt;"",L21&lt;&gt;"",M21&lt;&gt;"",N21&lt;&gt;"",O21&lt;&gt;"",P21&lt;&gt;"",Q21&lt;&gt;""),"Completa","Falta")</f>
        <v/>
      </c>
    </row>
    <row r="22" ht="21.75" customHeight="1" s="22">
      <c r="A22" s="39" t="inlineStr">
        <is>
          <t>C2-167</t>
        </is>
      </c>
      <c r="B22" s="40" t="inlineStr">
        <is>
          <t>S</t>
        </is>
      </c>
      <c r="C22" s="40" t="inlineStr">
        <is>
          <t>S</t>
        </is>
      </c>
      <c r="D22" s="40" t="inlineStr">
        <is>
          <t>S</t>
        </is>
      </c>
      <c r="E22" s="40" t="inlineStr">
        <is>
          <t>S</t>
        </is>
      </c>
      <c r="F22" s="40" t="inlineStr">
        <is>
          <t>S</t>
        </is>
      </c>
      <c r="G22" s="40" t="inlineStr">
        <is>
          <t>S</t>
        </is>
      </c>
      <c r="H22" s="40" t="inlineStr">
        <is>
          <t>FUNCTION_BLOCK</t>
        </is>
      </c>
      <c r="I22" s="40" t="inlineStr">
        <is>
          <t>S</t>
        </is>
      </c>
      <c r="J22" s="40" t="inlineStr">
        <is>
          <t>N</t>
        </is>
      </c>
      <c r="K22" s="40" t="inlineStr">
        <is>
          <t>S</t>
        </is>
      </c>
      <c r="L22" s="40" t="inlineStr">
        <is>
          <t>S</t>
        </is>
      </c>
      <c r="M22" s="40" t="inlineStr">
        <is>
          <t>S</t>
        </is>
      </c>
      <c r="N22" s="40" t="inlineStr">
        <is>
          <t>S</t>
        </is>
      </c>
      <c r="O22" s="40" t="inlineStr">
        <is>
          <t>S</t>
        </is>
      </c>
      <c r="P22" s="40" t="n">
        <v>4</v>
      </c>
      <c r="Q22" s="40" t="inlineStr">
        <is>
          <t>N</t>
        </is>
      </c>
      <c r="R22" s="41" t="inlineStr">
        <is>
          <t>Cubre A2-A6; adic: NO/NC, guardamotor, retardo anti-arranques, estado ante pérdida de energía del PLC.</t>
        </is>
      </c>
      <c r="S22" s="42">
        <f>COUNTIF(B22,"S")+COUNTIF(C22,"S")+COUNTIF(D22,"S")+COUNTIF(E22,"S")+COUNTIF(F22,"S")</f>
        <v/>
      </c>
      <c r="T22" s="42">
        <f>COUNTIF(J22,"S")+COUNTIF(K22,"S")+COUNTIF(L22,"S")+COUNTIF(M22,"S")+COUNTIF(N22,"S")+COUNTIF(O22,"S")</f>
        <v/>
      </c>
      <c r="U22" s="42">
        <f>IF(AND(B22&lt;&gt;"",C22&lt;&gt;"",D22&lt;&gt;"",E22&lt;&gt;"",F22&lt;&gt;"",G22&lt;&gt;"",H22&lt;&gt;"",I22&lt;&gt;"",J22&lt;&gt;"",K22&lt;&gt;"",L22&lt;&gt;"",M22&lt;&gt;"",N22&lt;&gt;"",O22&lt;&gt;"",P22&lt;&gt;"",Q22&lt;&gt;""),"Completa","Falta")</f>
        <v/>
      </c>
    </row>
    <row r="23" ht="21.75" customHeight="1" s="22">
      <c r="A23" s="39" t="inlineStr">
        <is>
          <t>C2-105</t>
        </is>
      </c>
      <c r="B23" s="40" t="inlineStr">
        <is>
          <t>S</t>
        </is>
      </c>
      <c r="C23" s="40" t="inlineStr">
        <is>
          <t>S</t>
        </is>
      </c>
      <c r="D23" s="40" t="inlineStr">
        <is>
          <t>S</t>
        </is>
      </c>
      <c r="E23" s="40" t="inlineStr">
        <is>
          <t>S</t>
        </is>
      </c>
      <c r="F23" s="40" t="inlineStr">
        <is>
          <t>S</t>
        </is>
      </c>
      <c r="G23" s="40" t="inlineStr">
        <is>
          <t>S</t>
        </is>
      </c>
      <c r="H23" s="40" t="inlineStr">
        <is>
          <t>FUNCTION_BLOCK</t>
        </is>
      </c>
      <c r="I23" s="40" t="inlineStr">
        <is>
          <t>S</t>
        </is>
      </c>
      <c r="J23" s="40" t="inlineStr">
        <is>
          <t>N</t>
        </is>
      </c>
      <c r="K23" s="40" t="inlineStr">
        <is>
          <t>S</t>
        </is>
      </c>
      <c r="L23" s="40" t="inlineStr">
        <is>
          <t>N</t>
        </is>
      </c>
      <c r="M23" s="40" t="inlineStr">
        <is>
          <t>N</t>
        </is>
      </c>
      <c r="N23" s="40" t="inlineStr">
        <is>
          <t>S</t>
        </is>
      </c>
      <c r="O23" s="40" t="inlineStr">
        <is>
          <t>N</t>
        </is>
      </c>
      <c r="P23" s="40" t="n">
        <v>2</v>
      </c>
      <c r="Q23" s="40" t="inlineStr">
        <is>
          <t>N</t>
        </is>
      </c>
      <c r="R23" s="41" t="inlineStr">
        <is>
          <t>E/S completas más botón de arranque no pedido; plantea llenado y luz; adic: anti-ciclado, sobrecalentamiento.</t>
        </is>
      </c>
      <c r="S23" s="42">
        <f>COUNTIF(B23,"S")+COUNTIF(C23,"S")+COUNTIF(D23,"S")+COUNTIF(E23,"S")+COUNTIF(F23,"S")</f>
        <v/>
      </c>
      <c r="T23" s="42">
        <f>COUNTIF(J23,"S")+COUNTIF(K23,"S")+COUNTIF(L23,"S")+COUNTIF(M23,"S")+COUNTIF(N23,"S")+COUNTIF(O23,"S")</f>
        <v/>
      </c>
      <c r="U23" s="42">
        <f>IF(AND(B23&lt;&gt;"",C23&lt;&gt;"",D23&lt;&gt;"",E23&lt;&gt;"",F23&lt;&gt;"",G23&lt;&gt;"",H23&lt;&gt;"",I23&lt;&gt;"",J23&lt;&gt;"",K23&lt;&gt;"",L23&lt;&gt;"",M23&lt;&gt;"",N23&lt;&gt;"",O23&lt;&gt;"",P23&lt;&gt;"",Q23&lt;&gt;""),"Completa","Falta")</f>
        <v/>
      </c>
    </row>
    <row r="24" ht="21.75" customHeight="1" s="22">
      <c r="A24" s="39" t="inlineStr">
        <is>
          <t>C2-187</t>
        </is>
      </c>
      <c r="B24" s="40" t="inlineStr">
        <is>
          <t>S</t>
        </is>
      </c>
      <c r="C24" s="40" t="inlineStr">
        <is>
          <t>S</t>
        </is>
      </c>
      <c r="D24" s="40" t="inlineStr">
        <is>
          <t>S</t>
        </is>
      </c>
      <c r="E24" s="40" t="inlineStr">
        <is>
          <t>S</t>
        </is>
      </c>
      <c r="F24" s="40" t="inlineStr">
        <is>
          <t>S</t>
        </is>
      </c>
      <c r="G24" s="40" t="inlineStr">
        <is>
          <t>S</t>
        </is>
      </c>
      <c r="H24" s="40" t="inlineStr">
        <is>
          <t>FUNCTION_BLOCK</t>
        </is>
      </c>
      <c r="I24" s="40" t="inlineStr">
        <is>
          <t>S</t>
        </is>
      </c>
      <c r="J24" s="40" t="inlineStr">
        <is>
          <t>N</t>
        </is>
      </c>
      <c r="K24" s="40" t="inlineStr">
        <is>
          <t>S</t>
        </is>
      </c>
      <c r="L24" s="40" t="inlineStr">
        <is>
          <t>N</t>
        </is>
      </c>
      <c r="M24" s="40" t="inlineStr">
        <is>
          <t>N</t>
        </is>
      </c>
      <c r="N24" s="40" t="inlineStr">
        <is>
          <t>S</t>
        </is>
      </c>
      <c r="O24" s="40" t="inlineStr">
        <is>
          <t>N</t>
        </is>
      </c>
      <c r="P24" s="40" t="n">
        <v>1</v>
      </c>
      <c r="Q24" s="40" t="inlineStr">
        <is>
          <t>N</t>
        </is>
      </c>
      <c r="R24" s="41" t="inlineStr">
        <is>
          <t>E/S completas; plantea luz y parada por llenado; adic: anti-ciclado.</t>
        </is>
      </c>
      <c r="S24" s="42">
        <f>COUNTIF(B24,"S")+COUNTIF(C24,"S")+COUNTIF(D24,"S")+COUNTIF(E24,"S")+COUNTIF(F24,"S")</f>
        <v/>
      </c>
      <c r="T24" s="42">
        <f>COUNTIF(J24,"S")+COUNTIF(K24,"S")+COUNTIF(L24,"S")+COUNTIF(M24,"S")+COUNTIF(N24,"S")+COUNTIF(O24,"S")</f>
        <v/>
      </c>
      <c r="U24" s="42">
        <f>IF(AND(B24&lt;&gt;"",C24&lt;&gt;"",D24&lt;&gt;"",E24&lt;&gt;"",F24&lt;&gt;"",G24&lt;&gt;"",H24&lt;&gt;"",I24&lt;&gt;"",J24&lt;&gt;"",K24&lt;&gt;"",L24&lt;&gt;"",M24&lt;&gt;"",N24&lt;&gt;"",O24&lt;&gt;"",P24&lt;&gt;"",Q24&lt;&gt;""),"Completa","Falta")</f>
        <v/>
      </c>
    </row>
    <row r="25" ht="21.75" customHeight="1" s="22">
      <c r="A25" s="39" t="inlineStr">
        <is>
          <t>C2-171</t>
        </is>
      </c>
      <c r="B25" s="40" t="inlineStr">
        <is>
          <t>S</t>
        </is>
      </c>
      <c r="C25" s="40" t="inlineStr">
        <is>
          <t>S</t>
        </is>
      </c>
      <c r="D25" s="40" t="inlineStr">
        <is>
          <t>S</t>
        </is>
      </c>
      <c r="E25" s="40" t="inlineStr">
        <is>
          <t>S</t>
        </is>
      </c>
      <c r="F25" s="40" t="inlineStr">
        <is>
          <t>S</t>
        </is>
      </c>
      <c r="G25" s="40" t="inlineStr">
        <is>
          <t>S</t>
        </is>
      </c>
      <c r="H25" s="40" t="inlineStr">
        <is>
          <t>FUNCTION_BLOCK</t>
        </is>
      </c>
      <c r="I25" s="40" t="inlineStr">
        <is>
          <t>S</t>
        </is>
      </c>
      <c r="J25" s="40" t="inlineStr">
        <is>
          <t>N</t>
        </is>
      </c>
      <c r="K25" s="40" t="inlineStr">
        <is>
          <t>S</t>
        </is>
      </c>
      <c r="L25" s="40" t="inlineStr">
        <is>
          <t>S</t>
        </is>
      </c>
      <c r="M25" s="40" t="inlineStr">
        <is>
          <t>S</t>
        </is>
      </c>
      <c r="N25" s="40" t="inlineStr">
        <is>
          <t>S</t>
        </is>
      </c>
      <c r="O25" s="40" t="inlineStr">
        <is>
          <t>S</t>
        </is>
      </c>
      <c r="P25" s="40" t="n">
        <v>6</v>
      </c>
      <c r="Q25" s="40" t="inlineStr">
        <is>
          <t>N</t>
        </is>
      </c>
      <c r="R25" s="41" t="inlineStr">
        <is>
          <t>Cubre A2-A6; adic: NO/NC, contacto de falla del guardamotor, prioridades, temporización, tipo de arranque, rearme de la luz.</t>
        </is>
      </c>
      <c r="S25" s="42">
        <f>COUNTIF(B25,"S")+COUNTIF(C25,"S")+COUNTIF(D25,"S")+COUNTIF(E25,"S")+COUNTIF(F25,"S")</f>
        <v/>
      </c>
      <c r="T25" s="42">
        <f>COUNTIF(J25,"S")+COUNTIF(K25,"S")+COUNTIF(L25,"S")+COUNTIF(M25,"S")+COUNTIF(N25,"S")+COUNTIF(O25,"S")</f>
        <v/>
      </c>
      <c r="U25" s="42">
        <f>IF(AND(B25&lt;&gt;"",C25&lt;&gt;"",D25&lt;&gt;"",E25&lt;&gt;"",F25&lt;&gt;"",G25&lt;&gt;"",H25&lt;&gt;"",I25&lt;&gt;"",J25&lt;&gt;"",K25&lt;&gt;"",L25&lt;&gt;"",M25&lt;&gt;"",N25&lt;&gt;"",O25&lt;&gt;"",P25&lt;&gt;"",Q25&lt;&gt;""),"Completa","Falta")</f>
        <v/>
      </c>
    </row>
    <row r="26" ht="21.75" customHeight="1" s="22">
      <c r="A26" s="39" t="inlineStr">
        <is>
          <t>C2-150</t>
        </is>
      </c>
      <c r="B26" s="40" t="inlineStr">
        <is>
          <t>S</t>
        </is>
      </c>
      <c r="C26" s="40" t="inlineStr">
        <is>
          <t>S</t>
        </is>
      </c>
      <c r="D26" s="40" t="inlineStr">
        <is>
          <t>S</t>
        </is>
      </c>
      <c r="E26" s="40" t="inlineStr">
        <is>
          <t>S</t>
        </is>
      </c>
      <c r="F26" s="40" t="inlineStr">
        <is>
          <t>S</t>
        </is>
      </c>
      <c r="G26" s="40" t="inlineStr">
        <is>
          <t>S</t>
        </is>
      </c>
      <c r="H26" s="40" t="inlineStr">
        <is>
          <t>FUNCTION_BLOCK</t>
        </is>
      </c>
      <c r="I26" s="40" t="inlineStr">
        <is>
          <t>S</t>
        </is>
      </c>
      <c r="J26" s="40" t="inlineStr">
        <is>
          <t>N</t>
        </is>
      </c>
      <c r="K26" s="40" t="inlineStr">
        <is>
          <t>S</t>
        </is>
      </c>
      <c r="L26" s="40" t="inlineStr">
        <is>
          <t>S</t>
        </is>
      </c>
      <c r="M26" s="40" t="inlineStr">
        <is>
          <t>S</t>
        </is>
      </c>
      <c r="N26" s="40" t="inlineStr">
        <is>
          <t>S</t>
        </is>
      </c>
      <c r="O26" s="40" t="inlineStr">
        <is>
          <t>S</t>
        </is>
      </c>
      <c r="P26" s="40" t="n">
        <v>1</v>
      </c>
      <c r="Q26" s="40" t="inlineStr">
        <is>
          <t>N</t>
        </is>
      </c>
      <c r="R26" s="41" t="inlineStr">
        <is>
          <t>E/S completas con prefijos di_/do_; cubre A2-A6 incluido riesgo de ciclado al recuperar el pozo; adic NO/NC.</t>
        </is>
      </c>
      <c r="S26" s="42">
        <f>COUNTIF(B26,"S")+COUNTIF(C26,"S")+COUNTIF(D26,"S")+COUNTIF(E26,"S")+COUNTIF(F26,"S")</f>
        <v/>
      </c>
      <c r="T26" s="42">
        <f>COUNTIF(J26,"S")+COUNTIF(K26,"S")+COUNTIF(L26,"S")+COUNTIF(M26,"S")+COUNTIF(N26,"S")+COUNTIF(O26,"S")</f>
        <v/>
      </c>
      <c r="U26" s="42">
        <f>IF(AND(B26&lt;&gt;"",C26&lt;&gt;"",D26&lt;&gt;"",E26&lt;&gt;"",F26&lt;&gt;"",G26&lt;&gt;"",H26&lt;&gt;"",I26&lt;&gt;"",J26&lt;&gt;"",K26&lt;&gt;"",L26&lt;&gt;"",M26&lt;&gt;"",N26&lt;&gt;"",O26&lt;&gt;"",P26&lt;&gt;"",Q26&lt;&gt;""),"Completa","Falta")</f>
        <v/>
      </c>
    </row>
    <row r="27" ht="21.75" customHeight="1" s="22">
      <c r="A27" s="39" t="inlineStr">
        <is>
          <t>C2-152</t>
        </is>
      </c>
      <c r="B27" s="40" t="inlineStr">
        <is>
          <t>S</t>
        </is>
      </c>
      <c r="C27" s="40" t="inlineStr">
        <is>
          <t>S</t>
        </is>
      </c>
      <c r="D27" s="40" t="inlineStr">
        <is>
          <t>S</t>
        </is>
      </c>
      <c r="E27" s="40" t="inlineStr">
        <is>
          <t>S</t>
        </is>
      </c>
      <c r="F27" s="40" t="inlineStr">
        <is>
          <t>S</t>
        </is>
      </c>
      <c r="G27" s="40" t="inlineStr">
        <is>
          <t>S</t>
        </is>
      </c>
      <c r="H27" s="40" t="inlineStr">
        <is>
          <t>FUNCTION_BLOCK</t>
        </is>
      </c>
      <c r="I27" s="40" t="inlineStr">
        <is>
          <t>S</t>
        </is>
      </c>
      <c r="J27" s="40" t="inlineStr">
        <is>
          <t>N</t>
        </is>
      </c>
      <c r="K27" s="40" t="inlineStr">
        <is>
          <t>S</t>
        </is>
      </c>
      <c r="L27" s="40" t="inlineStr">
        <is>
          <t>S</t>
        </is>
      </c>
      <c r="M27" s="40" t="inlineStr">
        <is>
          <t>S</t>
        </is>
      </c>
      <c r="N27" s="40" t="inlineStr">
        <is>
          <t>S</t>
        </is>
      </c>
      <c r="O27" s="40" t="inlineStr">
        <is>
          <t>N</t>
        </is>
      </c>
      <c r="P27" s="40" t="n">
        <v>1</v>
      </c>
      <c r="Q27" s="40" t="inlineStr">
        <is>
          <t>N</t>
        </is>
      </c>
      <c r="R27" s="41" t="inlineStr">
        <is>
          <t>Cubre llenado, rehabilitación tras paro, luz y reset de alarma; no aborda rearranque de la bomba al volver el agua; adic NO/NC.</t>
        </is>
      </c>
      <c r="S27" s="42">
        <f>COUNTIF(B27,"S")+COUNTIF(C27,"S")+COUNTIF(D27,"S")+COUNTIF(E27,"S")+COUNTIF(F27,"S")</f>
        <v/>
      </c>
      <c r="T27" s="42">
        <f>COUNTIF(J27,"S")+COUNTIF(K27,"S")+COUNTIF(L27,"S")+COUNTIF(M27,"S")+COUNTIF(N27,"S")+COUNTIF(O27,"S")</f>
        <v/>
      </c>
      <c r="U27" s="42">
        <f>IF(AND(B27&lt;&gt;"",C27&lt;&gt;"",D27&lt;&gt;"",E27&lt;&gt;"",F27&lt;&gt;"",G27&lt;&gt;"",H27&lt;&gt;"",I27&lt;&gt;"",J27&lt;&gt;"",K27&lt;&gt;"",L27&lt;&gt;"",M27&lt;&gt;"",N27&lt;&gt;"",O27&lt;&gt;"",P27&lt;&gt;"",Q27&lt;&gt;""),"Completa","Falta")</f>
        <v/>
      </c>
    </row>
    <row r="28" ht="21.75" customHeight="1" s="22">
      <c r="A28" s="39" t="inlineStr">
        <is>
          <t>C2-177</t>
        </is>
      </c>
      <c r="B28" s="40" t="inlineStr">
        <is>
          <t>S</t>
        </is>
      </c>
      <c r="C28" s="40" t="inlineStr">
        <is>
          <t>S</t>
        </is>
      </c>
      <c r="D28" s="40" t="inlineStr">
        <is>
          <t>S</t>
        </is>
      </c>
      <c r="E28" s="40" t="inlineStr">
        <is>
          <t>S</t>
        </is>
      </c>
      <c r="F28" s="40" t="inlineStr">
        <is>
          <t>S</t>
        </is>
      </c>
      <c r="G28" s="40" t="inlineStr">
        <is>
          <t>S</t>
        </is>
      </c>
      <c r="H28" s="40" t="inlineStr">
        <is>
          <t>FUNCTION_BLOCK</t>
        </is>
      </c>
      <c r="I28" s="40" t="inlineStr">
        <is>
          <t>S</t>
        </is>
      </c>
      <c r="J28" s="40" t="inlineStr">
        <is>
          <t>N</t>
        </is>
      </c>
      <c r="K28" s="40" t="inlineStr">
        <is>
          <t>N</t>
        </is>
      </c>
      <c r="L28" s="40" t="inlineStr">
        <is>
          <t>N</t>
        </is>
      </c>
      <c r="M28" s="40" t="inlineStr">
        <is>
          <t>N</t>
        </is>
      </c>
      <c r="N28" s="40" t="inlineStr">
        <is>
          <t>S</t>
        </is>
      </c>
      <c r="O28" s="40" t="inlineStr">
        <is>
          <t>N</t>
        </is>
      </c>
      <c r="P28" s="40" t="n">
        <v>3</v>
      </c>
      <c r="Q28" s="40" t="inlineStr">
        <is>
          <t>N</t>
        </is>
      </c>
      <c r="R28" s="41" t="inlineStr">
        <is>
          <t>bombaArrancada descrita como estado; solo plantea condiciones de la luz; adic: tiempo máximo de marcha, prioridad, sensor de temperatura.</t>
        </is>
      </c>
      <c r="S28" s="42">
        <f>COUNTIF(B28,"S")+COUNTIF(C28,"S")+COUNTIF(D28,"S")+COUNTIF(E28,"S")+COUNTIF(F28,"S")</f>
        <v/>
      </c>
      <c r="T28" s="42">
        <f>COUNTIF(J28,"S")+COUNTIF(K28,"S")+COUNTIF(L28,"S")+COUNTIF(M28,"S")+COUNTIF(N28,"S")+COUNTIF(O28,"S")</f>
        <v/>
      </c>
      <c r="U28" s="42">
        <f>IF(AND(B28&lt;&gt;"",C28&lt;&gt;"",D28&lt;&gt;"",E28&lt;&gt;"",F28&lt;&gt;"",G28&lt;&gt;"",H28&lt;&gt;"",I28&lt;&gt;"",J28&lt;&gt;"",K28&lt;&gt;"",L28&lt;&gt;"",M28&lt;&gt;"",N28&lt;&gt;"",O28&lt;&gt;"",P28&lt;&gt;"",Q28&lt;&gt;""),"Completa","Falta")</f>
        <v/>
      </c>
    </row>
    <row r="29" ht="21.75" customHeight="1" s="22">
      <c r="A29" s="39" t="inlineStr">
        <is>
          <t>C2-132</t>
        </is>
      </c>
      <c r="B29" s="40" t="inlineStr">
        <is>
          <t>S</t>
        </is>
      </c>
      <c r="C29" s="40" t="inlineStr">
        <is>
          <t>S</t>
        </is>
      </c>
      <c r="D29" s="40" t="inlineStr">
        <is>
          <t>S</t>
        </is>
      </c>
      <c r="E29" s="40" t="inlineStr">
        <is>
          <t>S</t>
        </is>
      </c>
      <c r="F29" s="40" t="inlineStr">
        <is>
          <t>S</t>
        </is>
      </c>
      <c r="G29" s="40" t="inlineStr">
        <is>
          <t>S</t>
        </is>
      </c>
      <c r="H29" s="40" t="inlineStr">
        <is>
          <t>FUNCTION_BLOCK</t>
        </is>
      </c>
      <c r="I29" s="40" t="inlineStr">
        <is>
          <t>S</t>
        </is>
      </c>
      <c r="J29" s="40" t="inlineStr">
        <is>
          <t>N</t>
        </is>
      </c>
      <c r="K29" s="40" t="inlineStr">
        <is>
          <t>S</t>
        </is>
      </c>
      <c r="L29" s="40" t="inlineStr">
        <is>
          <t>S</t>
        </is>
      </c>
      <c r="M29" s="40" t="inlineStr">
        <is>
          <t>S</t>
        </is>
      </c>
      <c r="N29" s="40" t="inlineStr">
        <is>
          <t>S</t>
        </is>
      </c>
      <c r="O29" s="40" t="inlineStr">
        <is>
          <t>N</t>
        </is>
      </c>
      <c r="P29" s="40" t="n">
        <v>3</v>
      </c>
      <c r="Q29" s="40" t="inlineStr">
        <is>
          <t>N</t>
        </is>
      </c>
      <c r="R29" s="41" t="inlineStr">
        <is>
          <t>E/S completas con direcciones; cubre llenado, botón, luz y reset de falla; no aborda retorno del agua; adic: NO/NC, sobrecarga térmica, temporización.</t>
        </is>
      </c>
      <c r="S29" s="42">
        <f>COUNTIF(B29,"S")+COUNTIF(C29,"S")+COUNTIF(D29,"S")+COUNTIF(E29,"S")+COUNTIF(F29,"S")</f>
        <v/>
      </c>
      <c r="T29" s="42">
        <f>COUNTIF(J29,"S")+COUNTIF(K29,"S")+COUNTIF(L29,"S")+COUNTIF(M29,"S")+COUNTIF(N29,"S")+COUNTIF(O29,"S")</f>
        <v/>
      </c>
      <c r="U29" s="42">
        <f>IF(AND(B29&lt;&gt;"",C29&lt;&gt;"",D29&lt;&gt;"",E29&lt;&gt;"",F29&lt;&gt;"",G29&lt;&gt;"",H29&lt;&gt;"",I29&lt;&gt;"",J29&lt;&gt;"",K29&lt;&gt;"",L29&lt;&gt;"",M29&lt;&gt;"",N29&lt;&gt;"",O29&lt;&gt;"",P29&lt;&gt;"",Q29&lt;&gt;""),"Completa","Falta")</f>
        <v/>
      </c>
    </row>
    <row r="30"/>
  </sheetData>
  <dataValidations count="3">
    <dataValidation sqref="P5:P29" showDropDown="0" showInputMessage="0" showErrorMessage="1" allowBlank="1" errorTitle="Valor no válido" error="Escribe un número entero, 0 o mayor." type="whole" errorStyle="stop" operator="greaterThanOrEqual">
      <formula1>0</formula1>
      <formula2>0</formula2>
    </dataValidation>
    <dataValidation sqref="B5:G29 I5:O29 Q5:Q29" showDropDown="0" showInputMessage="0" showErrorMessage="1" allowBlank="1" errorTitle="Valor no válido" error="Escribe S o N." type="list" errorStyle="stop" operator="between">
      <formula1>"S,N"</formula1>
      <formula2>0</formula2>
    </dataValidation>
    <dataValidation sqref="H5:H29" showDropDown="0" showInputMessage="0" showErrorMessage="1" allowBlank="1" errorTitle="Valor no válido" error="Elige una opción de la lista." type="list" errorStyle="stop" operator="between">
      <formula1>"FUNCTION,FUNCTION_BLOCK,PROGRAM,Varios o ninguno"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2026-10-07T06:13:24Z</dcterms:created>
  <dcterms:modified xmlns:dcterms="http://purl.org/dc/terms/" xmlns:xsi="http://www.w3.org/2001/XMLSchema-instance" xsi:type="dcterms:W3CDTF">2026-10-09T13:24:59Z</dcterms:modified>
  <cp:revision>0</cp:revision>
</cp:coreProperties>
</file>